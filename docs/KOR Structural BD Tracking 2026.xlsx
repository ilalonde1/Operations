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bmzse.sharepoint.com/sites/BusinessDevelopmentTeam/Shared Documents/Business Development Activities/"/>
    </mc:Choice>
  </mc:AlternateContent>
  <xr:revisionPtr revIDLastSave="0" documentId="8_{9BAA78A7-175C-44B3-A836-7C1FF3EA53E5}" xr6:coauthVersionLast="47" xr6:coauthVersionMax="47" xr10:uidLastSave="{00000000-0000-0000-0000-000000000000}"/>
  <bookViews>
    <workbookView xWindow="-120" yWindow="-120" windowWidth="29040" windowHeight="15720" firstSheet="4" activeTab="4" xr2:uid="{00000000-000D-0000-FFFF-FFFF00000000}"/>
  </bookViews>
  <sheets>
    <sheet name="DASHBOARD" sheetId="12" r:id="rId1"/>
    <sheet name="Vancouver; Lower Mainland" sheetId="8" r:id="rId2"/>
    <sheet name="Vancouver Island" sheetId="7" r:id="rId3"/>
    <sheet name="USA" sheetId="3" r:id="rId4"/>
    <sheet name="Alberta" sheetId="10" r:id="rId5"/>
    <sheet name="Okanagan; BC Interior" sheetId="9" r:id="rId6"/>
    <sheet name="Eastern Canada" sheetId="11" r:id="rId7"/>
    <sheet name="contact type" sheetId="6" r:id="rId8"/>
  </sheets>
  <definedNames>
    <definedName name="_xlnm._FilterDatabase" localSheetId="4" hidden="1">Alberta!$A$3:$L$37</definedName>
    <definedName name="_xlnm._FilterDatabase" localSheetId="6" hidden="1">'Eastern Canada'!$A$3:$L$7</definedName>
    <definedName name="_xlnm._FilterDatabase" localSheetId="5" hidden="1">'Okanagan; BC Interior'!$A$3:$L$20</definedName>
    <definedName name="_xlnm._FilterDatabase" localSheetId="3" hidden="1">USA!$A$3:$M$9</definedName>
    <definedName name="_xlnm._FilterDatabase" localSheetId="2" hidden="1">'Vancouver Island'!$A$3:$L$7</definedName>
    <definedName name="_xlnm._FilterDatabase" localSheetId="1" hidden="1">'Vancouver; Lower Mainland'!$A$3:$L$4</definedName>
    <definedName name="_xlnm.Print_Area" localSheetId="4">Alberta!$B$1:$L$208</definedName>
    <definedName name="_xlnm.Print_Area" localSheetId="6">'Eastern Canada'!$B$1:$L$178</definedName>
    <definedName name="_xlnm.Print_Area" localSheetId="5">'Okanagan; BC Interior'!$B$1:$L$191</definedName>
    <definedName name="_xlnm.Print_Area" localSheetId="3">USA!$B$1:$M$186</definedName>
    <definedName name="_xlnm.Print_Area" localSheetId="2">'Vancouver Island'!$B$1:$L$178</definedName>
    <definedName name="_xlnm.Print_Area" localSheetId="1">'Vancouver; Lower Mainland'!$B$1:$L$187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2" l="1"/>
  <c r="A25" i="8"/>
  <c r="B5" i="12" s="1"/>
  <c r="K25" i="8"/>
  <c r="J25" i="8"/>
  <c r="A23" i="3"/>
  <c r="A20" i="9"/>
  <c r="K23" i="3"/>
  <c r="D10" i="12" s="1"/>
  <c r="B10" i="12"/>
  <c r="E5" i="12"/>
  <c r="C5" i="12"/>
  <c r="B7" i="12"/>
  <c r="L23" i="3"/>
  <c r="F10" i="12" s="1"/>
  <c r="E10" i="12" s="1"/>
  <c r="B9" i="12"/>
  <c r="E6" i="12"/>
  <c r="B6" i="12"/>
  <c r="K7" i="11"/>
  <c r="E9" i="12" s="1"/>
  <c r="J7" i="11"/>
  <c r="C9" i="12" s="1"/>
  <c r="A7" i="11"/>
  <c r="K37" i="10"/>
  <c r="E8" i="12" s="1"/>
  <c r="E12" i="12" s="1"/>
  <c r="J37" i="10"/>
  <c r="C8" i="12" s="1"/>
  <c r="K20" i="9"/>
  <c r="E7" i="12" s="1"/>
  <c r="J20" i="9"/>
  <c r="C7" i="12" s="1"/>
  <c r="K7" i="7"/>
  <c r="J7" i="7"/>
  <c r="C6" i="12" s="1"/>
  <c r="A7" i="7"/>
  <c r="F12" i="12" l="1"/>
  <c r="G9" i="12"/>
  <c r="G8" i="12"/>
  <c r="G7" i="12"/>
  <c r="G6" i="12"/>
  <c r="G5" i="12"/>
  <c r="B12" i="12"/>
  <c r="D12" i="12"/>
  <c r="C10" i="12"/>
  <c r="C12" i="12" s="1"/>
  <c r="G10" i="12" l="1"/>
  <c r="G12" i="12"/>
</calcChain>
</file>

<file path=xl/sharedStrings.xml><?xml version="1.0" encoding="utf-8"?>
<sst xmlns="http://schemas.openxmlformats.org/spreadsheetml/2006/main" count="894" uniqueCount="460">
  <si>
    <t>BUSINESS DEVELOPMENT ACTIVITIES DASHBOARD</t>
  </si>
  <si>
    <t xml:space="preserve"> New Business 2026</t>
  </si>
  <si>
    <t>$US Conv.</t>
  </si>
  <si>
    <t>REGION</t>
  </si>
  <si>
    <t>Activities</t>
  </si>
  <si>
    <t xml:space="preserve"> Total Proposals Submitted  $Cdn</t>
  </si>
  <si>
    <t>Proposals Submitted  $USD</t>
  </si>
  <si>
    <t>Total Proposals Accepted  $Cdn</t>
  </si>
  <si>
    <t>Proposals Accepted  $USD</t>
  </si>
  <si>
    <t>Capture Rate  %</t>
  </si>
  <si>
    <t>Vancouver; Lower Mainland</t>
  </si>
  <si>
    <t>Vancouver Island</t>
  </si>
  <si>
    <t>Okanagan; BC Interior</t>
  </si>
  <si>
    <t>Alberta</t>
  </si>
  <si>
    <t>Eastern Canada</t>
  </si>
  <si>
    <t>USA</t>
  </si>
  <si>
    <t>TOTALS</t>
  </si>
  <si>
    <t>Meeting Notes:</t>
  </si>
  <si>
    <t>BD Strategy mtg 2026-04-10</t>
  </si>
  <si>
    <t>Regional BD Managers identified for each of the follow regions:</t>
  </si>
  <si>
    <t>Van / Lower Mainland - Omar</t>
  </si>
  <si>
    <t>Victoria - Rory</t>
  </si>
  <si>
    <t>Alberta - Islam</t>
  </si>
  <si>
    <t>Okanagan - Conor</t>
  </si>
  <si>
    <t>USA - Jim</t>
  </si>
  <si>
    <t>Each regional manager will be responsible to facilitate BD efforts and coordinate with other client facing partners for support and keep the BD Activities spreadsheet up to date.</t>
  </si>
  <si>
    <t>Islam wil be assigned the title of "Alberta Regional Manager"</t>
  </si>
  <si>
    <t>We should make an announcement of Islam joining as regional manager in Alberta (6 month Non-comp clause from Intuitive)</t>
  </si>
  <si>
    <t>No special title will be assigned at this time for the other regional BD managers</t>
  </si>
  <si>
    <t>Each region will be listed on all email signatures and on the website for promotion</t>
  </si>
  <si>
    <t>Website requires updating:</t>
  </si>
  <si>
    <t>Website is a promotional tool and should only have info on it that helps us.</t>
  </si>
  <si>
    <t>Staff should be removed from the website</t>
  </si>
  <si>
    <t>update to include each region including a list of projects</t>
  </si>
  <si>
    <t>The map is clunky and needs updating.</t>
  </si>
  <si>
    <t xml:space="preserve">We should increase our profile on LinkIn </t>
  </si>
  <si>
    <t>Qualifications brochures and other smaller brochures should be vetted and made available to all parties.</t>
  </si>
  <si>
    <t>We are planning to arrange a promotional trip to Alberta (Edmonton &amp; Calgary for May 6,7,8 - to be confirmed.</t>
  </si>
  <si>
    <t>Followup Full BD meeting with all parties including other client facing staff and partners to occur after the Alberta promo trip.</t>
  </si>
  <si>
    <t>Business Development Acitivities Log - VANCOUVER</t>
  </si>
  <si>
    <t>No.</t>
  </si>
  <si>
    <t>Date</t>
  </si>
  <si>
    <t>Initiator</t>
  </si>
  <si>
    <t>Contact</t>
  </si>
  <si>
    <t>Company</t>
  </si>
  <si>
    <t>Contact Info</t>
  </si>
  <si>
    <t>Location</t>
  </si>
  <si>
    <t>Type</t>
  </si>
  <si>
    <t>Potential Projects</t>
  </si>
  <si>
    <t xml:space="preserve">Proposals Submitted </t>
  </si>
  <si>
    <t>Proposals Accepted  $</t>
  </si>
  <si>
    <t>Notes</t>
  </si>
  <si>
    <t>Omar ALcazar</t>
  </si>
  <si>
    <t>Hamid Ahmandia</t>
  </si>
  <si>
    <t>Areva Living</t>
  </si>
  <si>
    <t>Hamid@Arevaliving.com</t>
  </si>
  <si>
    <t>Vancouver</t>
  </si>
  <si>
    <t>Meeting</t>
  </si>
  <si>
    <t xml:space="preserve">2 - rental towers in New west. </t>
  </si>
  <si>
    <t>Met Hammid at a UDI tour for Meridian,  Follow up  with the new code presentation. We got an RFP for one of their rental towers in New West and we were selected as the structural consultants. There is another tower at the early stages that is on hold.</t>
  </si>
  <si>
    <t>Jason Ha</t>
  </si>
  <si>
    <t>Concord Pacifid</t>
  </si>
  <si>
    <t>Potential towers, vancouvre, surrey and Calgary</t>
  </si>
  <si>
    <t>We were introduce to Jason Ha ( Vp of construction ) of Concord pacific by John from Allure. We have provided good services for all theird projects, even urgent requests for inspections and even respond to late night and weekend phone calls. ( the service we are providing and helping them to get OP 6 months a head of schedule help pursuing them to give us an intro to concord pacifid)</t>
  </si>
  <si>
    <t>Sukhi Raj</t>
  </si>
  <si>
    <t>RBI group</t>
  </si>
  <si>
    <t>sukhi@rbigroup.ca</t>
  </si>
  <si>
    <t>New hotels all over Lower Mainland</t>
  </si>
  <si>
    <t>Already got awarded a hotel/residential tower in surrey. Pursuing the Hotel at Main and Prior street.( New client that bought and existing hotel. Came to the office for input on how to save money. We provided a new scheme and several options. We provided services beypond of what he was expecting. Sukhi wants to work with us.</t>
  </si>
  <si>
    <t>Omar Alcazar</t>
  </si>
  <si>
    <t>Grant Myles</t>
  </si>
  <si>
    <t>Grosvenor</t>
  </si>
  <si>
    <t>Phone Call</t>
  </si>
  <si>
    <t>possible tilt-up</t>
  </si>
  <si>
    <t>I got the contact information from a site super that use to work with him and knows him well from Peter wall</t>
  </si>
  <si>
    <t>Dev Sharma</t>
  </si>
  <si>
    <t>Shape properties</t>
  </si>
  <si>
    <t>Need to follow up with a phone call</t>
  </si>
  <si>
    <t>Conor Murtagh</t>
  </si>
  <si>
    <t>Patrick Li</t>
  </si>
  <si>
    <t>Enso Group</t>
  </si>
  <si>
    <t>pli@enso-group.ca</t>
  </si>
  <si>
    <t>Surrey Midrise</t>
  </si>
  <si>
    <t>Conor &amp; JM met Patrick for coffee.</t>
  </si>
  <si>
    <t>Ben Omidvar</t>
  </si>
  <si>
    <t>ForteLiving</t>
  </si>
  <si>
    <t>Event</t>
  </si>
  <si>
    <t>towers and wood frame</t>
  </si>
  <si>
    <t>Met him at an ULI event at the end of the year</t>
  </si>
  <si>
    <t>Matthew Cavanaugh</t>
  </si>
  <si>
    <t>Cadillac Fairview</t>
  </si>
  <si>
    <t>comercial/residencial projects</t>
  </si>
  <si>
    <t>Met him at an UDI breakfast presentaiton- need to follow up. They are teeming up with SHape</t>
  </si>
  <si>
    <t>Jonathon Silcock</t>
  </si>
  <si>
    <t>Denciti Development</t>
  </si>
  <si>
    <t>jsilcock@denciti.ca</t>
  </si>
  <si>
    <t>Conor &amp; JM met Jonathon for lunch.</t>
  </si>
  <si>
    <t>Jim DesRoches</t>
  </si>
  <si>
    <t>Mike De Cotiis</t>
  </si>
  <si>
    <t>Pinnacle Development</t>
  </si>
  <si>
    <t>md@pinnacleinternational.ca</t>
  </si>
  <si>
    <t>San Diego</t>
  </si>
  <si>
    <t>California</t>
  </si>
  <si>
    <t>Reached out to invite Mike to dinner in San Diego week of Mar 3, Jim Ralph told me that Pinnacle has several new sites in San Diego, plan to discuss KOR expansion to Alberta and followup on new work in Vancouver.</t>
  </si>
  <si>
    <t>Cellina Heang</t>
  </si>
  <si>
    <t>Makola Development Services</t>
  </si>
  <si>
    <t>cheang@makoladev.com</t>
  </si>
  <si>
    <t>Submitted proposal for review of RJC's work on daycare. Proposal rejected but they will look to us for new work in future.</t>
  </si>
  <si>
    <t>Jeff Fong/Darren Rae</t>
  </si>
  <si>
    <t>Qualico/Streetside BC</t>
  </si>
  <si>
    <t>Jeff.fong@qualico.com / Darren.Rae@qualico.com</t>
  </si>
  <si>
    <t>Surrey</t>
  </si>
  <si>
    <t>Conor &amp; JM met Jeff and Darren for lunch in cloverdale.</t>
  </si>
  <si>
    <t>Freddy Pina</t>
  </si>
  <si>
    <t>PBRV Consulting</t>
  </si>
  <si>
    <t>fpina@pbrvconsulting.com</t>
  </si>
  <si>
    <t>Presentation</t>
  </si>
  <si>
    <t>PBD Presentation for Lecture to Structural Engineering class.   Structural Engineering Association of BC:  Certificate in Structural Engineering Program  E23 Performance Based Seismic Design of Buildings</t>
  </si>
  <si>
    <t>Kyle Foot</t>
  </si>
  <si>
    <t>Purpose Driven</t>
  </si>
  <si>
    <t>kyle@purposedrivenroi.com</t>
  </si>
  <si>
    <t>Email</t>
  </si>
  <si>
    <t>Epiphany Church Surrey</t>
  </si>
  <si>
    <t>Organising lunch with Purpose Driven that Conor, JM, Andrea nad Kate will attend.</t>
  </si>
  <si>
    <t>Hans Fast</t>
  </si>
  <si>
    <t xml:space="preserve">Fastmark  </t>
  </si>
  <si>
    <t>hans@fastmark.ca</t>
  </si>
  <si>
    <t>I was introduce to Hans by a PM from Axiom- I got his contact info and set up a meeting. most of the thier work will go to Fast&amp; Epp but they are willing to try us. Broadway projects currently on hold</t>
  </si>
  <si>
    <t>Tanner Younghans</t>
  </si>
  <si>
    <t>A&amp;H steel</t>
  </si>
  <si>
    <t>tannery@ah-steel.com</t>
  </si>
  <si>
    <t xml:space="preserve">possible tilt-up and wind turbine </t>
  </si>
  <si>
    <t>Brad Howard</t>
  </si>
  <si>
    <t>PCI Development</t>
  </si>
  <si>
    <t>Vanvouver</t>
  </si>
  <si>
    <t>Anneliese Neweduk</t>
  </si>
  <si>
    <t xml:space="preserve">M'akola Development </t>
  </si>
  <si>
    <t>Vanouuver</t>
  </si>
  <si>
    <t>towers and wood frames</t>
  </si>
  <si>
    <t xml:space="preserve">Meet Anneliese at a ULI event- will call her a set up a meeting </t>
  </si>
  <si>
    <t>Kendall Andison</t>
  </si>
  <si>
    <t xml:space="preserve">CIty Spaces consulting </t>
  </si>
  <si>
    <t>PENDING people to contact</t>
  </si>
  <si>
    <t>Abhishek Chaun</t>
  </si>
  <si>
    <t>PC Urban</t>
  </si>
  <si>
    <t>towers</t>
  </si>
  <si>
    <t>Trying to set up a meeting with PC Urban development team</t>
  </si>
  <si>
    <t>Ryan Lee</t>
  </si>
  <si>
    <t>Landa Global</t>
  </si>
  <si>
    <t>Vancoucer</t>
  </si>
  <si>
    <t>Manit Saiyah</t>
  </si>
  <si>
    <t>ITC</t>
  </si>
  <si>
    <t>projects with CHARD development</t>
  </si>
  <si>
    <t>I know Manit since he was in Thind Properties- He is at ITC and is recommendign as for projects with CHARD , he is going to try o set up a meetign with Chard's development team</t>
  </si>
  <si>
    <t>David Shamash</t>
  </si>
  <si>
    <t xml:space="preserve">I know him becuase our kids go to the same school- trying to get the contact info for Concert Properties. </t>
  </si>
  <si>
    <t>Business Development Acitivities Log - VANCOUVER ISLAND</t>
  </si>
  <si>
    <t>Business Development Acitivities Log - USA</t>
  </si>
  <si>
    <t>$usd</t>
  </si>
  <si>
    <t>City</t>
  </si>
  <si>
    <t>State</t>
  </si>
  <si>
    <t>Proposals Submitted</t>
  </si>
  <si>
    <t xml:space="preserve">Proposals Accepted </t>
  </si>
  <si>
    <t>Joseph Wong</t>
  </si>
  <si>
    <t>JWDA Architects</t>
  </si>
  <si>
    <t>aspousta@kennedywilson.com</t>
  </si>
  <si>
    <t>RFP</t>
  </si>
  <si>
    <t>Kettner &amp; Ash (mirror of Lindley)</t>
  </si>
  <si>
    <t>lost</t>
  </si>
  <si>
    <t>We were contacted by JWDA to review new project which is a mirror of the Lindley Project we designed for Toll Brothers that recently completed construction. Followup discussion with Matthew Geamon JWDA indicated Kennedy Wilson has chosen to back out of the deal for Kettner &amp; Ash at this time - it may come back later, however KW currently has other priorities in their pipeline.  I will followup with Andrew.</t>
  </si>
  <si>
    <t>Craig Howard</t>
  </si>
  <si>
    <t>DBRDS Design Studio</t>
  </si>
  <si>
    <t>craig@dbrds.com</t>
  </si>
  <si>
    <t>Riley St. San Diego, Northgate Sacramento</t>
  </si>
  <si>
    <t>Met at their office for 1650 Hotel Circle Cood meeting - they asked if we would be interested in some woodframe projects they we pursuing - we could expect RFP forthcoming</t>
  </si>
  <si>
    <t>Riley St. San Diego</t>
  </si>
  <si>
    <t>Followup from meeting of Jan 21</t>
  </si>
  <si>
    <t>Northgate Sacramento</t>
  </si>
  <si>
    <t>Followup from meeting of Jan 21, Spoke to Architect Apr 24 and he said the owner sold the site.  It may still come back with new owner...but for now it is lost.</t>
  </si>
  <si>
    <t>John Markulin</t>
  </si>
  <si>
    <t>Richard Bernstein</t>
  </si>
  <si>
    <t>CDA Architects</t>
  </si>
  <si>
    <t>richard.b@dikeakos.com</t>
  </si>
  <si>
    <t>Pima County</t>
  </si>
  <si>
    <t>Arizona</t>
  </si>
  <si>
    <t>MR7 6 midrise</t>
  </si>
  <si>
    <t>Richard reached out for us to participate in a project they are pursuing in Arizona.   He also asked us to increase our fee as our original fee was much lower than other consultants in the region.</t>
  </si>
  <si>
    <t>MR7 6 highrise</t>
  </si>
  <si>
    <t>Mandy Serrano ; Greg Maclure; Greg Fall; Geoff Rubin;JT Barr; Matt Cook</t>
  </si>
  <si>
    <t>H + W Mechanical</t>
  </si>
  <si>
    <t>mandy@hwengr.com;gamcclure@leoadaly.com;greg.fall@cbre.com;geoff.rubin@kimley-horn.com;jtbarr@schmidtdesign.com;mcook@usa-nova.com</t>
  </si>
  <si>
    <t>Will obtain list of project leads from this group.</t>
  </si>
  <si>
    <t>Mandy has invited us to join a BD Leads group that she manages - containing other consultants that compare and share leads for new work.   We will be the only structural engineering firm in the group.  Met with 4 others and discussed leads for new projects in public and private sector.   This may be good group to help us break into public sector work.  I plan to followup with some of the participants on new projects that were discussed.  Am considering a roadtrip from San Diego to LA with Mandy to share leads and arrange meetings where we would share introductions.</t>
  </si>
  <si>
    <t>Andrew Spousta</t>
  </si>
  <si>
    <t>Kennedy Wilson</t>
  </si>
  <si>
    <t>Kettner &amp; Ash (mirror of Lindley), Beverly Hills Tower, Woodframe project Santa Barbara</t>
  </si>
  <si>
    <t>Arranged to meet for lunch in San Diego.  Andrew is previously with Toll Brothers who were bought by Kennedy Wilson.  Followup to RFP to confirm status of  Kettner &amp; Ash - they are currently looking for equity party to share funding,  Notified of two new projects that do not have Structural consultant yet, one in Santa Barbara and one in Beverly Hills.   Andrew will send us RFP for both.</t>
  </si>
  <si>
    <t>Geoff Rubin</t>
  </si>
  <si>
    <t>Kimley Horn</t>
  </si>
  <si>
    <t>geoff.rubin@kimley-horn.com</t>
  </si>
  <si>
    <t xml:space="preserve">Large Indigenous Hotel Development </t>
  </si>
  <si>
    <t>Followup from Leads group meeting of Mar 3. Geoff expressed and interest in working with us on projects he has in pipeline.  They are a turnkey engineering company but is lacking structural consulting.   Could lead to some private sector and indigenous work.  I sent him our project portfolio in the followup email.</t>
  </si>
  <si>
    <t>Matthew Geaman</t>
  </si>
  <si>
    <t>mgeaman@jwdainc.com</t>
  </si>
  <si>
    <t>Kettner &amp; Ash,  New Mirka Tower</t>
  </si>
  <si>
    <t>Followup meeting with Matthew  at JWDA office in person.   - discussed Mirka lack of payment and strategy - JWDA intend to continue working expecting to eventually get paid.   Mathew does not have much new coming up - some military work is keeping them busy.  They hope Lindley II will start up soon.   They will contact us if any new work breaks.</t>
  </si>
  <si>
    <t>Paul Lamme</t>
  </si>
  <si>
    <t>Bosa Development</t>
  </si>
  <si>
    <t>plamme@bosadevelopment.com</t>
  </si>
  <si>
    <t>1st &amp; Island</t>
  </si>
  <si>
    <t>Lunch meeting with Paul to discuss project status and new projects.  1st and Island will be on hold for now as they are focused on finishing their 8th &amp; B project in San Diego, and 2 towers in Bellevue Wash.   They said they have some changes coming on some of the suites in 1st &amp; Island, and some VE expected of tower roof steel etc.   Told Paul we would have a $35k extra to finish the project and maybe a bit more $$ if they make further changes - he had no issues with that.</t>
  </si>
  <si>
    <t>Louis Nasr</t>
  </si>
  <si>
    <t>Lnasr@bosadevelopment.com</t>
  </si>
  <si>
    <t>Stopped by 8th &amp; B site to meet with Louis.  Discussed GS dropping the ball on seismic instrumentation for the project.   Bosa has spend $150k on equipment and expected to spend an additional $200k on installation.   CSMIP is refusing to monitor the building since they have another Bosa project right next door that is already instrumented.   It appears GS did not obtain approval from CSMIP during Peer review.....Bosa is not happy.</t>
  </si>
  <si>
    <t>Project is being revised and 3 floors added.  We have been asked to proceed to compete the redesign.   He acknowledged that this increases our scope to finish the project especially with respect to the peer review.    We will charge extra $95000 total to perform the update and complete the project.</t>
  </si>
  <si>
    <t>Ali Fattah</t>
  </si>
  <si>
    <t>City of San Diego</t>
  </si>
  <si>
    <t>afattah@sandiego.gov</t>
  </si>
  <si>
    <t>India &amp; Beech (plan check), 611 Island Ave (peer review)</t>
  </si>
  <si>
    <t>Enquired about further plan check and peer review opportunities</t>
  </si>
  <si>
    <t>Tuscon</t>
  </si>
  <si>
    <t>Trinity Townhomes</t>
  </si>
  <si>
    <t>Riley St. San Diego, Northgate Sacramento Custon Homes</t>
  </si>
  <si>
    <t>Followup call with Craig - he said Sacramento project is lost as owner has sold the site,  Riley St. is still a possibility as owner is still considering.   He asked if we would consider doing custom homes.   I  told him we are not looking specifically for that type of work but would be happy to do it for him - he will send us proposals once it is time.  He indicated that fees are not usully based on are and more one time required - they have a system and would be happy to assist us preparing a fee when the time comes.</t>
  </si>
  <si>
    <t>Bellvue Peer Review, 1st &amp; Island startup</t>
  </si>
  <si>
    <t>Paul indicated he was reviewing 1st &amp; Island changes with city &amp; FAA for height increase for confimation of approval before proceeding - we can expect kickoff meeting in about 2 weeks.    I reminded him about Peer review on GS project in Bellvue - he indicated that it may be too late to change anything but he may still get us to do a review - I told him we would be happy to do that.</t>
  </si>
  <si>
    <t>Chase Ronge</t>
  </si>
  <si>
    <t>MVE Architects</t>
  </si>
  <si>
    <t>Matt Maclarrand</t>
  </si>
  <si>
    <t>Duane Hagewood</t>
  </si>
  <si>
    <t>Carrier Johnson Culture</t>
  </si>
  <si>
    <t>611 Island Avenue - Peer Review</t>
  </si>
  <si>
    <t>ask about status of project wrapping the storage building in Gaslamp - is it being revised (we are doing peer review).  Also enquire about any new opportunities</t>
  </si>
  <si>
    <t>Adam Covington</t>
  </si>
  <si>
    <t>Greystar</t>
  </si>
  <si>
    <t>New opportunities?  Matthew at JWDA indicated they are looking at a large woodframe project in LA.</t>
  </si>
  <si>
    <t>Mandy Serrano</t>
  </si>
  <si>
    <t>Arrange a BD road trip from San Diego to LA and share leads.</t>
  </si>
  <si>
    <t>Followup regarding further projects.</t>
  </si>
  <si>
    <t>Business Development Acitivities Log - ALBERTA</t>
  </si>
  <si>
    <t>Islam Shabana</t>
  </si>
  <si>
    <t>Maurizio Capano</t>
  </si>
  <si>
    <t>Probus Management</t>
  </si>
  <si>
    <t>mcapano@probuspm.com</t>
  </si>
  <si>
    <t>Edmonton</t>
  </si>
  <si>
    <t>Maurizio is currently serving as Project Manager on several notable projects in Edmonton. I’ve had the opportunity to work with him on a couple of projects in the past, which helped establish a good connection.
At the moment, he is fully committed to ongoing long-term projects and not taking on new work, but he was receptive to staying in touch. I plan to follow up with him again in a couple of months when his availability may open up.</t>
  </si>
  <si>
    <t>Steel Center of UofA</t>
  </si>
  <si>
    <t>University of Alberta</t>
  </si>
  <si>
    <t>vmazroue@ualberta.ca</t>
  </si>
  <si>
    <t>Prepared a presentation on the technical challenges associated with the lateral design of high-rise buildings, with a focus on projects delivered by KOR in Alberta.</t>
  </si>
  <si>
    <t>MikeWoodLand</t>
  </si>
  <si>
    <t>Metafor Architecture</t>
  </si>
  <si>
    <t>mikew@metafor.studio</t>
  </si>
  <si>
    <t>Fillmore Construction Industrial Bldg (design build), Vernon BC</t>
  </si>
  <si>
    <t>I gave Mike, a Principal at Metafor Architecture, a call to introduce KOR. He was receptive and open to meeting during the last week of April. I’ve followed up with an email proposing availability and am currently awaiting his confirmation.  Islam followed up in an email and Mike asked to  participate in a Design Build Project with Fillmore Construction for a small industrial building in Vernon.</t>
  </si>
  <si>
    <t>Ash Mahmoud</t>
  </si>
  <si>
    <t>Turn Group</t>
  </si>
  <si>
    <t>amahmoud@turngroup.ca</t>
  </si>
  <si>
    <t>990 Carling Ave, Ottawa, ON</t>
  </si>
  <si>
    <r>
      <rPr>
        <sz val="11"/>
        <color rgb="FF000000"/>
        <rFont val="Calibri"/>
        <family val="2"/>
        <scheme val="minor"/>
      </rPr>
      <t xml:space="preserve">Ash, CEO of Turn Group (whom I’ve worked with previously), was receptive to reconnecting. I initiated a catch-up discussion on LinkedIn and followed up by sharing our company portfolio via email. We got </t>
    </r>
    <r>
      <rPr>
        <b/>
        <sz val="11"/>
        <color rgb="FF000000"/>
        <rFont val="Calibri"/>
        <family val="2"/>
        <scheme val="minor"/>
      </rPr>
      <t xml:space="preserve">RFP </t>
    </r>
    <r>
      <rPr>
        <sz val="11"/>
        <color rgb="FF000000"/>
        <rFont val="Calibri"/>
        <family val="2"/>
        <scheme val="minor"/>
      </rPr>
      <t xml:space="preserve">for 3 acres site in </t>
    </r>
    <r>
      <rPr>
        <b/>
        <sz val="11"/>
        <color rgb="FF000000"/>
        <rFont val="Calibri"/>
        <family val="2"/>
        <scheme val="minor"/>
      </rPr>
      <t xml:space="preserve">Ottawa </t>
    </r>
    <r>
      <rPr>
        <sz val="11"/>
        <color rgb="FF000000"/>
        <rFont val="Calibri"/>
        <family val="2"/>
        <scheme val="minor"/>
      </rPr>
      <t>that consists of 4 buildings (8-to-20 storeys). The project arhc is Arcadis.</t>
    </r>
  </si>
  <si>
    <t>Kerri Hagen</t>
  </si>
  <si>
    <t>A&amp;H Steel</t>
  </si>
  <si>
    <t>kerrih@ah-steel.com</t>
  </si>
  <si>
    <t>Kerri visisted KOR office in Vancouver to discuss potential ways of collaboration in BD in Edmonton and Vancouver.</t>
  </si>
  <si>
    <t>Adrian Benoit</t>
  </si>
  <si>
    <t>GEC Architecture</t>
  </si>
  <si>
    <t>adrian.benoit@gecarchitecture.com</t>
  </si>
  <si>
    <t>Emailed Adrian to introduce KOR attaching an updated portfolio that shows a collection of residential, commercial, light industrial projects and asking for an intro meeting on May 7. Goal is to establish a GEC-KOR relationship.</t>
  </si>
  <si>
    <t>Tamer Elshimi</t>
  </si>
  <si>
    <t xml:space="preserve">Thurber </t>
  </si>
  <si>
    <t>telshimi@thurber.ca</t>
  </si>
  <si>
    <t>I know Tamer who is a principal with Thurber. Thurber is heavily involved in institutional and other infrastructure work in Alberta. The goal was to set up an intro meeting to get their support thru early notification of opportunities that we can jump on.</t>
  </si>
  <si>
    <t>Darrell Booth</t>
  </si>
  <si>
    <t>Cantiro Group</t>
  </si>
  <si>
    <t>dbooth@cantiro.ca</t>
  </si>
  <si>
    <t>Other</t>
  </si>
  <si>
    <t>KOR had lunch with the BD team at Cantiro. They seemed open to including us on upcoming opportunities, particularly in the townhome sector. Mid-rise opportunities appear to already be committed.</t>
  </si>
  <si>
    <t>PCL</t>
  </si>
  <si>
    <t>jpfleese@pcl.com</t>
  </si>
  <si>
    <t>Kerri arranged a meet-and-greet with PCL Construction Edmonton. KOR presented at PCL on May 7, 2026.</t>
  </si>
  <si>
    <t>Make Projects</t>
  </si>
  <si>
    <t>sfitzsimmons@makeprojects.ca</t>
  </si>
  <si>
    <t>Kerri arranged a lunch meeting with Make Projects in Edmonton. We met with Shannon Fitzsimmons on May 7, 2026.</t>
  </si>
  <si>
    <t>Ledcor</t>
  </si>
  <si>
    <t>lisette.sluser@ledcor.com</t>
  </si>
  <si>
    <t>Kerri arranged a meet-and-greet with Ledcor Edmonton. The KOR team presented at Ledcor on May 7, 2026.</t>
  </si>
  <si>
    <t>Tamer Elshimi &amp; Campell Chow</t>
  </si>
  <si>
    <t>telshimi@thurber.ca; cchow@thurber.ca</t>
  </si>
  <si>
    <t>Follow up email after meeting at Thurber's Edmonton office on May 7.</t>
  </si>
  <si>
    <t>Salisbury Village East, Site C</t>
  </si>
  <si>
    <t>Follow up email indicating our openness in supporting GEC in their reach in BC in exchange of his support in AB. Adrian asked to participate in a mixed use development in St Albert.</t>
  </si>
  <si>
    <t>Ben Aitchison, Keith &amp; Nicola</t>
  </si>
  <si>
    <t>Duke Management</t>
  </si>
  <si>
    <t>baitchison@dukemanagement.ca;  keith@dukemanagement.ca; nicola@dukemanagement.ca</t>
  </si>
  <si>
    <t>Kelowna Mill Site, Winnipeg Tower</t>
  </si>
  <si>
    <t>Met with Ben, Keith, Nicola at their office.   Ben and Keith are leaders.  We discussed Kelowna Mill project: expressed interest in potential use of mass timber for that project.  I will followup with Example project (Pegasus San Diego).  Also they have 20 story tower in Winnipeg wtih Arc Architects who are also the Exec Arch on the Kelowna Mills project.   Will also followup with Arc regarding both projects.</t>
  </si>
  <si>
    <t>Followed up and sent her example of Quantity takeoff report for Heatherlands.  Asked if she could help confirm rebar densities.   Perhaps using Richards and Drake as an example.</t>
  </si>
  <si>
    <t>Joe Edbeid</t>
  </si>
  <si>
    <t>JLL real estate</t>
  </si>
  <si>
    <t>joe.ebeid@jll.com</t>
  </si>
  <si>
    <t>Islam met with Joe Ebeid (Senior project manager at JLL). Joe will consider us for upcoming work whenever possible and sent us a client list to contact.</t>
  </si>
  <si>
    <t>Lisette Sluser</t>
  </si>
  <si>
    <t>Follow up email after presentation at Ledcor Edmonton. During the presentation, Ledcor expressed interest in reviewing our portfolio, particularly light industrial projects involving tilt-up construction. Islam prepared and sent the requested portfolio and qualifications on.</t>
  </si>
  <si>
    <t>Follow up email after meeting with Duke at their office in St Albert on May 8, inlcuding KOR's portfolio.</t>
  </si>
  <si>
    <t>Shannon Fitzsimmons</t>
  </si>
  <si>
    <t>Follow up email after lunch with Shannon in Edmonton on May 7. Shannon asked to see a portfolio showing commercial jobs along with our qualifications and Islam prepared and sent the requested info. She also mentioned ther might be opportunities on smaller jobs in the near future.</t>
  </si>
  <si>
    <t>Followup email sent to all 3 at Duke highlighting our mass timber work - featuring Pegasus project in San Diego.  Also indicated that we are currently working on Suttom place Hotel in Winnipeg.</t>
  </si>
  <si>
    <t>Followed up and sent her example of Quantity takeoff report for Heatherlands.  She indicated they were starting to provide Quantity Estimating Services - offered to collaborate on projects with here and supplement her estimating services in this manner.    Goal would be to get in early on new projects and get selected to complete final design.</t>
  </si>
  <si>
    <t>Ian Evans</t>
  </si>
  <si>
    <t>HSEA Architecture</t>
  </si>
  <si>
    <t>ievans@hsea.ca</t>
  </si>
  <si>
    <t>Checking in email - I worked with Ian on multiple projects in the past and wanted to hint my return to KOR in an effort to solicit business.</t>
  </si>
  <si>
    <t>Michael Sheehan &amp; Stacy Kasnot</t>
  </si>
  <si>
    <t>L7 Architecture</t>
  </si>
  <si>
    <t>m.sheehan@l7arch.ca; s.kasnot@l7arch.ca</t>
  </si>
  <si>
    <t>Intro email - contact info from Joe Ebeid @ JLL. They asked to meet at theif office on June 4 or 5 at 10 am. The goal is to setup a meeting and build a relationship with L7.</t>
  </si>
  <si>
    <t>Joanne Smith</t>
  </si>
  <si>
    <t>Sahuri + Partners Architecture</t>
  </si>
  <si>
    <t>Joanne.Smith@sahuri.com</t>
  </si>
  <si>
    <t>Calgary</t>
  </si>
  <si>
    <t>Intro email - contact info from Joe Ebeid @ JLL. The goal is to setup a meeting in Calgary towards mid-June.</t>
  </si>
  <si>
    <t>Anuj Gupta</t>
  </si>
  <si>
    <t>Anu Developements</t>
  </si>
  <si>
    <t>anuj@anudevelopments.ca</t>
  </si>
  <si>
    <t>Intro email and request to meet and offer structural engineering services.</t>
  </si>
  <si>
    <t>Tyler Dixon &amp; Tai Ziola</t>
  </si>
  <si>
    <t>Dialog Design</t>
  </si>
  <si>
    <t>tdixon@dialogdesign.ca; tziola@dialogdesign.ca</t>
  </si>
  <si>
    <t>Intro email and request to meet and offer structural engineering services. They suggested to meet in July.</t>
  </si>
  <si>
    <t>Sameer Remtulla</t>
  </si>
  <si>
    <t>Deveraux Group</t>
  </si>
  <si>
    <t>sremtulla@deveraux.ca</t>
  </si>
  <si>
    <t>Sameer is a Senior VP at Deveraux Group. I did a couple of designs for Deveraux in the past and emailed him to see their Openness to give KOR work.</t>
  </si>
  <si>
    <t>David Taylor</t>
  </si>
  <si>
    <t>PK Developments</t>
  </si>
  <si>
    <t>dave@pkdevelopments.ca</t>
  </si>
  <si>
    <t>David is the president of PK Developments who are very active in mid-rise construction across Alberta. They seem to have work in SK and BC as well. The goal is to setup a meeting and introduce KOR and try to solicit business.</t>
  </si>
  <si>
    <t>Peter Streith</t>
  </si>
  <si>
    <t>S2 Architecture</t>
  </si>
  <si>
    <t>p.streith@s2architecture.com</t>
  </si>
  <si>
    <t>Peter is a principal at S2 Edmonton office. I sent him an into email and asked if he is open to meet.</t>
  </si>
  <si>
    <t>wood Frame/Hotels</t>
  </si>
  <si>
    <t>Sukhi is the owner of RBI Group, he is going to send me drawigns for  a new wood frame</t>
  </si>
  <si>
    <t>Kerri will try to set up more meeting with GC's for the week of June 23rd</t>
  </si>
  <si>
    <t>Edmotont</t>
  </si>
  <si>
    <t>We got invited to the Ledcor client appriciation event on June 23rd - Islam will be attending</t>
  </si>
  <si>
    <t>Worked with?</t>
  </si>
  <si>
    <t>Remark</t>
  </si>
  <si>
    <t xml:space="preserve">Kyle Russell &amp; Michael Vercillo </t>
  </si>
  <si>
    <t>PCL Construction</t>
  </si>
  <si>
    <t>Yes</t>
  </si>
  <si>
    <t>Contractor</t>
  </si>
  <si>
    <t>Shane Heintz</t>
  </si>
  <si>
    <t>Graham</t>
  </si>
  <si>
    <t>Davis Wajda</t>
  </si>
  <si>
    <t>Bird Construction</t>
  </si>
  <si>
    <t>Ken Froner &amp; Asma Javed</t>
  </si>
  <si>
    <t>START Architecture</t>
  </si>
  <si>
    <t>Arch</t>
  </si>
  <si>
    <t>** JM to inroduce to dialog? they're well established here and we might have already collaborated a lot with them</t>
  </si>
  <si>
    <t>Devin Macintosh</t>
  </si>
  <si>
    <t>TBD Architecture</t>
  </si>
  <si>
    <t xml:space="preserve">Adam Bauer </t>
  </si>
  <si>
    <t>Arc Studio</t>
  </si>
  <si>
    <t>Ricardo Rego</t>
  </si>
  <si>
    <t>EKISTICS</t>
  </si>
  <si>
    <t>HSEA</t>
  </si>
  <si>
    <t>Igor Kuseta</t>
  </si>
  <si>
    <t>Arch &amp; Construction</t>
  </si>
  <si>
    <t>Plan Works</t>
  </si>
  <si>
    <t>No</t>
  </si>
  <si>
    <t>NORR</t>
  </si>
  <si>
    <t>GGA Architecture</t>
  </si>
  <si>
    <t>Marwa Zakzouk</t>
  </si>
  <si>
    <t>DIALOG</t>
  </si>
  <si>
    <t>Deveraux Developments</t>
  </si>
  <si>
    <t>Developer</t>
  </si>
  <si>
    <t>Yet to select who to contact (worked with several people mostly Xavier Susin)</t>
  </si>
  <si>
    <t>Carrington Homes</t>
  </si>
  <si>
    <t>Yet to select who to contact</t>
  </si>
  <si>
    <t>Langham Developments</t>
  </si>
  <si>
    <t>Boudreau Communities</t>
  </si>
  <si>
    <t>Thurber Engineering</t>
  </si>
  <si>
    <t>Geotechnical</t>
  </si>
  <si>
    <t>Jason Franchuk</t>
  </si>
  <si>
    <t>Delnor Construction</t>
  </si>
  <si>
    <t>Probus</t>
  </si>
  <si>
    <t>Wexford Developements (Calgary)</t>
  </si>
  <si>
    <t>Delnor construction (Calgary &amp; Edmonton)</t>
  </si>
  <si>
    <t>Stephen Boyd</t>
  </si>
  <si>
    <t>sboyd@arcstudio.ca</t>
  </si>
  <si>
    <r>
      <rPr>
        <sz val="11"/>
        <color rgb="FF000000"/>
        <rFont val="Calibri"/>
        <family val="2"/>
        <scheme val="minor"/>
      </rPr>
      <t xml:space="preserve">Must followup regarding Kelowna Mill and Tower in Winnipeg both with Duke Management. </t>
    </r>
    <r>
      <rPr>
        <sz val="11"/>
        <color rgb="FFFF0000"/>
        <rFont val="Calibri"/>
        <family val="2"/>
        <scheme val="minor"/>
      </rPr>
      <t>(Jim - please note that Arc work with Entuitive so the follow up may be better later? also, if Stephen has never replied to us may be it is better if I follow up with Adam?)</t>
    </r>
  </si>
  <si>
    <t>Business Development Acitivities Log - OKANAGAN; BC INTERIOR</t>
  </si>
  <si>
    <t>Sarb Saba</t>
  </si>
  <si>
    <t>Saba Construction</t>
  </si>
  <si>
    <t>hayers1@live.com</t>
  </si>
  <si>
    <t>Kelowna</t>
  </si>
  <si>
    <t>Conor, JM, Jim &amp; Simon met Sarb for coffee in Kelowna</t>
  </si>
  <si>
    <t>Jim Meiklejohn</t>
  </si>
  <si>
    <t>Meiklejohn Architects</t>
  </si>
  <si>
    <t>jim-mai@shaw.ca</t>
  </si>
  <si>
    <t>kelowna</t>
  </si>
  <si>
    <t>Sutton Crescent</t>
  </si>
  <si>
    <t>Conor, JM, Jim &amp; Simon met Jim,Shirley, Stoke &amp; Collin for lunch in Kelowna</t>
  </si>
  <si>
    <t>Jeff Nishimura</t>
  </si>
  <si>
    <t>Greenstone Developments</t>
  </si>
  <si>
    <t>jeff@greenstonedevelopments.ca</t>
  </si>
  <si>
    <t>Conor, JM, &amp; Jim met Jeff, Tyler, Mike, &amp; Shawn for drinks in Kelowna</t>
  </si>
  <si>
    <t>Aaron Gietema</t>
  </si>
  <si>
    <t>Holar Developments</t>
  </si>
  <si>
    <t>aaron.gietema@holardevelopments.com</t>
  </si>
  <si>
    <t>Vernon</t>
  </si>
  <si>
    <t>Kelowna Mill Project</t>
  </si>
  <si>
    <t>Conor &amp; Jim met Aaron for coffee.</t>
  </si>
  <si>
    <t>Paul Schuster/ Inder Pabla</t>
  </si>
  <si>
    <t>Novation Architecture</t>
  </si>
  <si>
    <t>paul@novationarchitecture.com / inder@novationarchitecture.com</t>
  </si>
  <si>
    <t>945 Rutland RD</t>
  </si>
  <si>
    <t>Conor &amp; Jim visited Novation's office</t>
  </si>
  <si>
    <t>Usman Aziz</t>
  </si>
  <si>
    <t>NewTown Architecture</t>
  </si>
  <si>
    <t>usman@newtownservices.net</t>
  </si>
  <si>
    <t>Conor &amp; Jim visited NewTowns's office.</t>
  </si>
  <si>
    <t>Denciti Developments</t>
  </si>
  <si>
    <t>Conor met Jonathon at UDI Okanagan Holiday Reception</t>
  </si>
  <si>
    <t>Alisia Strautins</t>
  </si>
  <si>
    <t>Traine</t>
  </si>
  <si>
    <t>astrautins@traine.ca</t>
  </si>
  <si>
    <t>380 Taunton Rd, Whitby, Ontario RJC review &amp; 150 Lynden RD, Brantford, Ontario</t>
  </si>
  <si>
    <t>Conor &amp; Jim met Alisia for lunch</t>
  </si>
  <si>
    <t>Sean Wilson</t>
  </si>
  <si>
    <t>Ridge North America</t>
  </si>
  <si>
    <t>wilson@ridgenorthamerica.ca</t>
  </si>
  <si>
    <t>Organised meeting but fell through. Rory working on another project with him now.</t>
  </si>
  <si>
    <t>Matt Johnston</t>
  </si>
  <si>
    <t>Lime Architecture</t>
  </si>
  <si>
    <t>matt@limearchitecture</t>
  </si>
  <si>
    <t>Conor &amp; Jim visited Lime's office</t>
  </si>
  <si>
    <t>Ryan Wheeler</t>
  </si>
  <si>
    <t>Wilden</t>
  </si>
  <si>
    <t>ryan@wilden.ca</t>
  </si>
  <si>
    <t>Cattail Pond</t>
  </si>
  <si>
    <t>Conor &amp; Jim visited Wilden's showroom</t>
  </si>
  <si>
    <t>Mark Aquilon</t>
  </si>
  <si>
    <t>Michael Green Architecture</t>
  </si>
  <si>
    <t>mark@mgaarch.ca</t>
  </si>
  <si>
    <t>Conor &amp; Simon visited MGA's office</t>
  </si>
  <si>
    <t>Allan Lal</t>
  </si>
  <si>
    <t>Mundi hotels</t>
  </si>
  <si>
    <t>AL@mundiconstruction.ca</t>
  </si>
  <si>
    <t xml:space="preserve">Potential Hotels </t>
  </si>
  <si>
    <t>Ian O Donnell</t>
  </si>
  <si>
    <t>Westrich Pacific</t>
  </si>
  <si>
    <t>ian@westrichpacific.com</t>
  </si>
  <si>
    <t>Arranged lunch to introduce Kor to Edmonton.</t>
  </si>
  <si>
    <t>Nicola Dolan</t>
  </si>
  <si>
    <t>Nicola@dukemanagement.ca</t>
  </si>
  <si>
    <t>Kelowna Mill Project, Winnipeg Tower</t>
  </si>
  <si>
    <t>Arranged office visit to introduce Kor to Edmonton. Islam and Jim met with Ben Aitchison (Construction manager). They're open to considering us on upcoming opportunities including Kelowna Mill, 6-storey wood resi in Edmonton, and a tower in downtown Winnipeg.</t>
  </si>
  <si>
    <t>Business Development Acitivities Log - EASTERN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</si>
</sst>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quot;$&quot;#,##0"/>
    <numFmt numFmtId="165" formatCode="_-&quot;$&quot;* #,##0.00_-;\-&quot;$&quot;* #,##0.00_-;_-&quot;$&quot;* &quot;-&quot;??_-;_-@_-"/>
    <numFmt numFmtId="166" formatCode="0.0%"/>
  </numFmts>
  <fonts count="16">
    <font>
      <sz val="11"/>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sz val="11"/>
      <color rgb="FF9C0006"/>
      <name val="Calibri"/>
      <family val="2"/>
      <scheme val="minor"/>
    </font>
    <font>
      <sz val="11"/>
      <name val="Calibri"/>
      <family val="2"/>
      <scheme val="minor"/>
    </font>
    <font>
      <b/>
      <sz val="11"/>
      <name val="Calibri"/>
      <family val="2"/>
      <scheme val="minor"/>
    </font>
    <font>
      <b/>
      <sz val="16"/>
      <name val="Calibri"/>
      <family val="2"/>
      <scheme val="minor"/>
    </font>
    <font>
      <sz val="11"/>
      <color theme="4"/>
      <name val="Calibri"/>
      <family val="2"/>
      <scheme val="minor"/>
    </font>
    <font>
      <sz val="11"/>
      <color theme="1"/>
      <name val="Calibri"/>
      <family val="2"/>
      <scheme val="minor"/>
    </font>
    <font>
      <u/>
      <sz val="11"/>
      <color theme="10"/>
      <name val="Calibri"/>
      <family val="2"/>
      <scheme val="minor"/>
    </font>
    <font>
      <sz val="11"/>
      <color rgb="FFFF0000"/>
      <name val="Calibri"/>
      <family val="2"/>
      <scheme val="minor"/>
    </font>
    <font>
      <sz val="11"/>
      <color rgb="FF000000"/>
      <name val="Calibri"/>
      <family val="2"/>
      <scheme val="minor"/>
    </font>
    <font>
      <sz val="11"/>
      <color rgb="FF002060"/>
      <name val="Calibri"/>
      <family val="2"/>
      <scheme val="minor"/>
    </font>
    <font>
      <b/>
      <u/>
      <sz val="11"/>
      <color rgb="FFFF0000"/>
      <name val="Calibri"/>
      <family val="2"/>
      <scheme val="minor"/>
    </font>
    <font>
      <b/>
      <sz val="11"/>
      <color rgb="FF000000"/>
      <name val="Calibri"/>
      <family val="2"/>
      <scheme val="minor"/>
    </font>
  </fonts>
  <fills count="4">
    <fill>
      <patternFill patternType="none"/>
    </fill>
    <fill>
      <patternFill patternType="gray125"/>
    </fill>
    <fill>
      <patternFill patternType="solid">
        <fgColor rgb="FFFFC7CE"/>
      </patternFill>
    </fill>
    <fill>
      <patternFill patternType="solid">
        <fgColor rgb="FF92D050"/>
        <bgColor indexed="64"/>
      </patternFill>
    </fill>
  </fills>
  <borders count="2">
    <border>
      <left/>
      <right/>
      <top/>
      <bottom/>
      <diagonal/>
    </border>
    <border>
      <left/>
      <right/>
      <top style="thick">
        <color auto="1"/>
      </top>
      <bottom/>
      <diagonal/>
    </border>
  </borders>
  <cellStyleXfs count="5">
    <xf numFmtId="0" fontId="0" fillId="0" borderId="0"/>
    <xf numFmtId="0" fontId="4" fillId="2" borderId="0" applyNumberFormat="0" applyBorder="0" applyAlignment="0" applyProtection="0"/>
    <xf numFmtId="165" fontId="9" fillId="0" borderId="0" applyFont="0" applyFill="0" applyBorder="0" applyAlignment="0" applyProtection="0"/>
    <xf numFmtId="0" fontId="10" fillId="0" borderId="0" applyNumberFormat="0" applyFill="0" applyBorder="0" applyAlignment="0" applyProtection="0"/>
    <xf numFmtId="9" fontId="9" fillId="0" borderId="0" applyFont="0" applyFill="0" applyBorder="0" applyAlignment="0" applyProtection="0"/>
  </cellStyleXfs>
  <cellXfs count="69">
    <xf numFmtId="0" fontId="0" fillId="0" borderId="0" xfId="0"/>
    <xf numFmtId="0" fontId="5" fillId="0" borderId="0" xfId="0" applyFont="1"/>
    <xf numFmtId="0" fontId="8" fillId="0" borderId="0" xfId="0" applyFont="1"/>
    <xf numFmtId="0" fontId="0" fillId="0" borderId="0" xfId="0"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8" fillId="0" borderId="0" xfId="0" applyFont="1" applyAlignment="1">
      <alignment vertical="top" wrapText="1"/>
    </xf>
    <xf numFmtId="0" fontId="0" fillId="0" borderId="0" xfId="0" applyAlignment="1">
      <alignment vertical="top"/>
    </xf>
    <xf numFmtId="0" fontId="3" fillId="0" borderId="0" xfId="0" applyFont="1" applyAlignment="1">
      <alignment horizontal="left" vertical="top"/>
    </xf>
    <xf numFmtId="0" fontId="1" fillId="0" borderId="0" xfId="0" applyFont="1" applyAlignment="1">
      <alignment horizontal="left" vertical="top"/>
    </xf>
    <xf numFmtId="0" fontId="1" fillId="0" borderId="0" xfId="0" applyFont="1" applyAlignment="1">
      <alignment vertical="top"/>
    </xf>
    <xf numFmtId="0" fontId="0" fillId="0" borderId="0" xfId="0" applyAlignment="1">
      <alignment horizontal="left" vertical="top"/>
    </xf>
    <xf numFmtId="0" fontId="7"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vertical="top"/>
    </xf>
    <xf numFmtId="0" fontId="5" fillId="0" borderId="0" xfId="0" applyFont="1" applyAlignment="1">
      <alignment horizontal="left" vertical="top"/>
    </xf>
    <xf numFmtId="0" fontId="8" fillId="0" borderId="0" xfId="0" applyFont="1" applyAlignment="1">
      <alignment horizontal="left" vertical="top"/>
    </xf>
    <xf numFmtId="0" fontId="8" fillId="0" borderId="0" xfId="0" applyFont="1" applyAlignment="1">
      <alignment vertical="top"/>
    </xf>
    <xf numFmtId="0" fontId="5" fillId="0" borderId="0" xfId="1" applyFont="1" applyFill="1" applyAlignment="1">
      <alignment horizontal="left" vertical="top"/>
    </xf>
    <xf numFmtId="17" fontId="5" fillId="0" borderId="0" xfId="0" applyNumberFormat="1" applyFont="1"/>
    <xf numFmtId="0" fontId="2" fillId="0" borderId="0" xfId="0" applyFont="1" applyAlignment="1">
      <alignment horizontal="left" vertical="top"/>
    </xf>
    <xf numFmtId="14" fontId="5" fillId="0" borderId="0" xfId="0" applyNumberFormat="1" applyFont="1" applyAlignment="1">
      <alignment horizontal="left" vertical="top"/>
    </xf>
    <xf numFmtId="0" fontId="5" fillId="0" borderId="0" xfId="0" applyFont="1" applyAlignment="1">
      <alignment horizontal="left"/>
    </xf>
    <xf numFmtId="164" fontId="5" fillId="0" borderId="0" xfId="2" applyNumberFormat="1" applyFont="1" applyAlignment="1">
      <alignment horizontal="center" vertical="top" wrapText="1"/>
    </xf>
    <xf numFmtId="14" fontId="6" fillId="0" borderId="0" xfId="0" applyNumberFormat="1" applyFont="1" applyAlignment="1">
      <alignment horizontal="left" vertical="top"/>
    </xf>
    <xf numFmtId="0" fontId="6" fillId="3" borderId="0" xfId="0" applyFont="1" applyFill="1"/>
    <xf numFmtId="0" fontId="6" fillId="3" borderId="0" xfId="0" applyFont="1" applyFill="1" applyAlignment="1">
      <alignment horizontal="left" vertical="top"/>
    </xf>
    <xf numFmtId="0" fontId="6" fillId="3" borderId="0" xfId="0" applyFont="1" applyFill="1" applyAlignment="1">
      <alignment vertical="top"/>
    </xf>
    <xf numFmtId="0" fontId="6" fillId="3" borderId="0" xfId="0" applyFont="1" applyFill="1" applyAlignment="1">
      <alignment vertical="top" wrapText="1"/>
    </xf>
    <xf numFmtId="0" fontId="10" fillId="0" borderId="0" xfId="3" applyAlignment="1">
      <alignment vertical="top"/>
    </xf>
    <xf numFmtId="0" fontId="5" fillId="0" borderId="0" xfId="0" applyFont="1" applyAlignment="1">
      <alignment horizontal="center" vertical="top" wrapText="1"/>
    </xf>
    <xf numFmtId="0" fontId="2" fillId="0" borderId="0" xfId="0" applyFont="1"/>
    <xf numFmtId="0" fontId="6" fillId="0" borderId="1" xfId="0" applyFont="1" applyBorder="1" applyAlignment="1">
      <alignment horizontal="left"/>
    </xf>
    <xf numFmtId="14" fontId="5" fillId="0" borderId="1" xfId="0" applyNumberFormat="1" applyFont="1" applyBorder="1" applyAlignment="1">
      <alignment horizontal="left" vertical="top"/>
    </xf>
    <xf numFmtId="0" fontId="5" fillId="0" borderId="1" xfId="0" applyFont="1" applyBorder="1" applyAlignment="1">
      <alignment vertical="top"/>
    </xf>
    <xf numFmtId="0" fontId="5" fillId="0" borderId="1" xfId="0" applyFont="1" applyBorder="1" applyAlignment="1">
      <alignment vertical="top" wrapText="1"/>
    </xf>
    <xf numFmtId="164" fontId="5" fillId="0" borderId="1" xfId="2" applyNumberFormat="1" applyFont="1" applyBorder="1" applyAlignment="1">
      <alignment horizontal="center" vertical="top" wrapText="1"/>
    </xf>
    <xf numFmtId="0" fontId="3" fillId="0" borderId="0" xfId="0" applyFont="1"/>
    <xf numFmtId="0" fontId="0" fillId="0" borderId="0" xfId="0" applyAlignment="1">
      <alignment horizontal="center" vertical="top"/>
    </xf>
    <xf numFmtId="164" fontId="0" fillId="0" borderId="0" xfId="0" applyNumberFormat="1" applyAlignment="1">
      <alignment horizontal="center" vertical="top"/>
    </xf>
    <xf numFmtId="0" fontId="3" fillId="0" borderId="1" xfId="0" applyFont="1" applyBorder="1"/>
    <xf numFmtId="0" fontId="0" fillId="0" borderId="1" xfId="0" applyBorder="1" applyAlignment="1">
      <alignment horizontal="center"/>
    </xf>
    <xf numFmtId="164" fontId="0" fillId="0" borderId="1" xfId="0" applyNumberFormat="1" applyBorder="1" applyAlignment="1">
      <alignment horizontal="center" vertical="top"/>
    </xf>
    <xf numFmtId="0" fontId="0" fillId="0" borderId="1" xfId="0" applyBorder="1" applyAlignment="1">
      <alignment horizontal="center" vertical="top"/>
    </xf>
    <xf numFmtId="0" fontId="3" fillId="0" borderId="0" xfId="0" applyFont="1" applyAlignment="1">
      <alignment horizontal="center" vertical="top" wrapText="1"/>
    </xf>
    <xf numFmtId="0" fontId="0" fillId="0" borderId="0" xfId="0" applyAlignment="1">
      <alignment horizontal="center" vertical="top" wrapText="1"/>
    </xf>
    <xf numFmtId="166" fontId="0" fillId="0" borderId="0" xfId="4" applyNumberFormat="1" applyFont="1" applyAlignment="1">
      <alignment horizontal="center" vertical="top"/>
    </xf>
    <xf numFmtId="166" fontId="0" fillId="0" borderId="1" xfId="4" applyNumberFormat="1" applyFont="1" applyBorder="1" applyAlignment="1">
      <alignment horizontal="center" vertical="top"/>
    </xf>
    <xf numFmtId="0" fontId="6" fillId="3" borderId="0" xfId="0" applyFont="1" applyFill="1" applyAlignment="1">
      <alignment horizontal="center" vertical="top" wrapText="1"/>
    </xf>
    <xf numFmtId="0" fontId="10" fillId="0" borderId="0" xfId="3"/>
    <xf numFmtId="0" fontId="10" fillId="0" borderId="0" xfId="3" applyAlignment="1">
      <alignment vertical="top" wrapText="1"/>
    </xf>
    <xf numFmtId="0" fontId="0" fillId="0" borderId="0" xfId="0" applyAlignment="1">
      <alignment horizontal="left" vertical="top" wrapText="1"/>
    </xf>
    <xf numFmtId="0" fontId="11" fillId="0" borderId="0" xfId="0" applyFont="1" applyAlignment="1">
      <alignment vertical="top"/>
    </xf>
    <xf numFmtId="0" fontId="11" fillId="0" borderId="0" xfId="0" applyFont="1" applyAlignment="1">
      <alignment vertical="top" wrapText="1"/>
    </xf>
    <xf numFmtId="0" fontId="12" fillId="0" borderId="0" xfId="0" applyFont="1" applyAlignment="1">
      <alignment vertical="top"/>
    </xf>
    <xf numFmtId="0" fontId="13" fillId="0" borderId="0" xfId="0" applyFont="1" applyAlignment="1">
      <alignment horizontal="left"/>
    </xf>
    <xf numFmtId="14" fontId="13" fillId="0" borderId="0" xfId="0" applyNumberFormat="1" applyFont="1" applyAlignment="1">
      <alignment horizontal="left" vertical="top"/>
    </xf>
    <xf numFmtId="0" fontId="13" fillId="0" borderId="0" xfId="0" applyFont="1" applyAlignment="1">
      <alignment vertical="top"/>
    </xf>
    <xf numFmtId="0" fontId="13" fillId="0" borderId="0" xfId="0" applyFont="1"/>
    <xf numFmtId="0" fontId="14" fillId="0" borderId="0" xfId="0" applyFont="1" applyAlignment="1">
      <alignment vertical="top"/>
    </xf>
    <xf numFmtId="0" fontId="12" fillId="0" borderId="0" xfId="0" applyFont="1" applyAlignment="1">
      <alignment vertical="top" wrapText="1"/>
    </xf>
    <xf numFmtId="0" fontId="1" fillId="0" borderId="0" xfId="0" applyFont="1"/>
    <xf numFmtId="0" fontId="5" fillId="0" borderId="0" xfId="0" applyFont="1" applyAlignment="1">
      <alignment wrapText="1"/>
    </xf>
    <xf numFmtId="0" fontId="13" fillId="0" borderId="0" xfId="0" applyFont="1" applyAlignment="1">
      <alignment vertical="top" wrapText="1"/>
    </xf>
    <xf numFmtId="0" fontId="13" fillId="0" borderId="0" xfId="0" applyFont="1" applyAlignment="1">
      <alignment wrapText="1"/>
    </xf>
    <xf numFmtId="0" fontId="10" fillId="0" borderId="0" xfId="3" quotePrefix="1" applyAlignment="1">
      <alignment vertical="top" wrapText="1"/>
    </xf>
    <xf numFmtId="0" fontId="5" fillId="0" borderId="0" xfId="0" applyFont="1" applyAlignment="1">
      <alignment horizontal="left" vertical="top" wrapText="1"/>
    </xf>
  </cellXfs>
  <cellStyles count="5">
    <cellStyle name="Bad" xfId="1" builtinId="27"/>
    <cellStyle name="Currency" xfId="2" builtinId="4"/>
    <cellStyle name="Hyperlink" xfId="3" builtinId="8"/>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md@pinnacleinternational.ca" TargetMode="External"/><Relationship Id="rId3" Type="http://schemas.openxmlformats.org/officeDocument/2006/relationships/hyperlink" Target="mailto:cheang@makoladev.com" TargetMode="External"/><Relationship Id="rId7" Type="http://schemas.openxmlformats.org/officeDocument/2006/relationships/hyperlink" Target="mailto:Jeff.fong@qualico.com%20/%20Darren.Rae@qualico.com" TargetMode="External"/><Relationship Id="rId12" Type="http://schemas.openxmlformats.org/officeDocument/2006/relationships/printerSettings" Target="../printerSettings/printerSettings2.bin"/><Relationship Id="rId2" Type="http://schemas.openxmlformats.org/officeDocument/2006/relationships/hyperlink" Target="mailto:sukhi@rbigroup.ca" TargetMode="External"/><Relationship Id="rId1" Type="http://schemas.openxmlformats.org/officeDocument/2006/relationships/hyperlink" Target="mailto:Hamid@Arevaliving.com" TargetMode="External"/><Relationship Id="rId6" Type="http://schemas.openxmlformats.org/officeDocument/2006/relationships/hyperlink" Target="mailto:jsilcock@denciti.ca" TargetMode="External"/><Relationship Id="rId11" Type="http://schemas.openxmlformats.org/officeDocument/2006/relationships/hyperlink" Target="mailto:kyle@purposedrivenroi.com" TargetMode="External"/><Relationship Id="rId5" Type="http://schemas.openxmlformats.org/officeDocument/2006/relationships/hyperlink" Target="mailto:pli@enso-group.ca" TargetMode="External"/><Relationship Id="rId10" Type="http://schemas.openxmlformats.org/officeDocument/2006/relationships/hyperlink" Target="mailto:tannery@ah-steel.com" TargetMode="External"/><Relationship Id="rId4" Type="http://schemas.openxmlformats.org/officeDocument/2006/relationships/hyperlink" Target="mailto:fpina@pbrvconsulting.com" TargetMode="External"/><Relationship Id="rId9" Type="http://schemas.openxmlformats.org/officeDocument/2006/relationships/hyperlink" Target="mailto:hans@fastmark.c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mailto:craig@dbrds.com" TargetMode="External"/><Relationship Id="rId13" Type="http://schemas.openxmlformats.org/officeDocument/2006/relationships/hyperlink" Target="mailto:plamme@bosadevelopment.com" TargetMode="External"/><Relationship Id="rId3" Type="http://schemas.openxmlformats.org/officeDocument/2006/relationships/hyperlink" Target="mailto:aspousta@kennedywilson.com" TargetMode="External"/><Relationship Id="rId7" Type="http://schemas.openxmlformats.org/officeDocument/2006/relationships/hyperlink" Target="mailto:plamme@bosadevelopment.com" TargetMode="External"/><Relationship Id="rId12" Type="http://schemas.openxmlformats.org/officeDocument/2006/relationships/hyperlink" Target="mailto:Lnasr@bosadevelopment.com" TargetMode="External"/><Relationship Id="rId17" Type="http://schemas.openxmlformats.org/officeDocument/2006/relationships/printerSettings" Target="../printerSettings/printerSettings4.bin"/><Relationship Id="rId2" Type="http://schemas.openxmlformats.org/officeDocument/2006/relationships/hyperlink" Target="mailto:richard.b@dikeakos.com" TargetMode="External"/><Relationship Id="rId16" Type="http://schemas.openxmlformats.org/officeDocument/2006/relationships/hyperlink" Target="mailto:plamme@bosadevelopment.com" TargetMode="External"/><Relationship Id="rId1" Type="http://schemas.openxmlformats.org/officeDocument/2006/relationships/hyperlink" Target="mailto:aspousta@kennedywilson.com" TargetMode="External"/><Relationship Id="rId6" Type="http://schemas.openxmlformats.org/officeDocument/2006/relationships/hyperlink" Target="mailto:mgeaman@jwdainc.com" TargetMode="External"/><Relationship Id="rId11" Type="http://schemas.openxmlformats.org/officeDocument/2006/relationships/hyperlink" Target="mailto:geoff.rubin@kimley-horn.com" TargetMode="External"/><Relationship Id="rId5" Type="http://schemas.openxmlformats.org/officeDocument/2006/relationships/hyperlink" Target="mailto:craig@dbrds.com" TargetMode="External"/><Relationship Id="rId15" Type="http://schemas.openxmlformats.org/officeDocument/2006/relationships/hyperlink" Target="mailto:craig@dbrds.com" TargetMode="External"/><Relationship Id="rId10" Type="http://schemas.openxmlformats.org/officeDocument/2006/relationships/hyperlink" Target="mailto:mandy@hwengr.com;gamcclure@leoadaly.com;greg.fall@cbre.com;geoff.rubin@kimley-horn.com;jtbarr@schmidtdesign.com;mcook@usa-nova.com" TargetMode="External"/><Relationship Id="rId4" Type="http://schemas.openxmlformats.org/officeDocument/2006/relationships/hyperlink" Target="mailto:craig@dbrds.com" TargetMode="External"/><Relationship Id="rId9" Type="http://schemas.openxmlformats.org/officeDocument/2006/relationships/hyperlink" Target="mailto:richard.b@dikeakos.com" TargetMode="External"/><Relationship Id="rId14" Type="http://schemas.openxmlformats.org/officeDocument/2006/relationships/hyperlink" Target="mailto:richard.b@dikeakos.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dbooth@cantiro.ca" TargetMode="External"/><Relationship Id="rId13" Type="http://schemas.openxmlformats.org/officeDocument/2006/relationships/hyperlink" Target="mailto:joe.ebeid@jll.com" TargetMode="External"/><Relationship Id="rId18" Type="http://schemas.openxmlformats.org/officeDocument/2006/relationships/hyperlink" Target="mailto:m.sheehan@l7arch.ca" TargetMode="External"/><Relationship Id="rId26" Type="http://schemas.openxmlformats.org/officeDocument/2006/relationships/hyperlink" Target="mailto:telshimi@thurber.ca" TargetMode="External"/><Relationship Id="rId3" Type="http://schemas.openxmlformats.org/officeDocument/2006/relationships/hyperlink" Target="mailto:mikew@metafor.studio" TargetMode="External"/><Relationship Id="rId21" Type="http://schemas.openxmlformats.org/officeDocument/2006/relationships/hyperlink" Target="mailto:lisette.sluser@ledcor.com" TargetMode="External"/><Relationship Id="rId7" Type="http://schemas.openxmlformats.org/officeDocument/2006/relationships/hyperlink" Target="mailto:adrian.benoit@gecarchitecture.com" TargetMode="External"/><Relationship Id="rId12" Type="http://schemas.openxmlformats.org/officeDocument/2006/relationships/hyperlink" Target="mailto:telshimi@thurber.ca" TargetMode="External"/><Relationship Id="rId17" Type="http://schemas.openxmlformats.org/officeDocument/2006/relationships/hyperlink" Target="mailto:sfitzsimmons@makeprojects.ca" TargetMode="External"/><Relationship Id="rId25" Type="http://schemas.openxmlformats.org/officeDocument/2006/relationships/hyperlink" Target="mailto:baitchison@dukemanagement.ca" TargetMode="External"/><Relationship Id="rId2" Type="http://schemas.openxmlformats.org/officeDocument/2006/relationships/hyperlink" Target="mailto:mcapano@probuspm.com" TargetMode="External"/><Relationship Id="rId16" Type="http://schemas.openxmlformats.org/officeDocument/2006/relationships/hyperlink" Target="mailto:baitchison@dukemanagement.ca" TargetMode="External"/><Relationship Id="rId20" Type="http://schemas.openxmlformats.org/officeDocument/2006/relationships/hyperlink" Target="mailto:adrian.benoit@gecarchitecture.com" TargetMode="External"/><Relationship Id="rId29" Type="http://schemas.openxmlformats.org/officeDocument/2006/relationships/printerSettings" Target="../printerSettings/printerSettings5.bin"/><Relationship Id="rId1" Type="http://schemas.openxmlformats.org/officeDocument/2006/relationships/hyperlink" Target="mailto:mcapano@probuspm.com" TargetMode="External"/><Relationship Id="rId6" Type="http://schemas.openxmlformats.org/officeDocument/2006/relationships/hyperlink" Target="mailto:kerrih@ah-steel.com" TargetMode="External"/><Relationship Id="rId11" Type="http://schemas.openxmlformats.org/officeDocument/2006/relationships/hyperlink" Target="mailto:lisette.sluser@ledcor.com" TargetMode="External"/><Relationship Id="rId24" Type="http://schemas.openxmlformats.org/officeDocument/2006/relationships/hyperlink" Target="mailto:anuj@anudevelopments.ca" TargetMode="External"/><Relationship Id="rId5" Type="http://schemas.openxmlformats.org/officeDocument/2006/relationships/hyperlink" Target="mailto:amahmoud@turngroup.ca" TargetMode="External"/><Relationship Id="rId15" Type="http://schemas.openxmlformats.org/officeDocument/2006/relationships/hyperlink" Target="mailto:baitchison@dukemanagement.ca" TargetMode="External"/><Relationship Id="rId23" Type="http://schemas.openxmlformats.org/officeDocument/2006/relationships/hyperlink" Target="mailto:Joanne.Smith@sahuri.com" TargetMode="External"/><Relationship Id="rId28" Type="http://schemas.openxmlformats.org/officeDocument/2006/relationships/hyperlink" Target="mailto:kerrih@ah-steel.com" TargetMode="External"/><Relationship Id="rId10" Type="http://schemas.openxmlformats.org/officeDocument/2006/relationships/hyperlink" Target="mailto:sfitzsimmons@makeprojects.ca" TargetMode="External"/><Relationship Id="rId19" Type="http://schemas.openxmlformats.org/officeDocument/2006/relationships/hyperlink" Target="mailto:ievans@hsea.ca" TargetMode="External"/><Relationship Id="rId4" Type="http://schemas.openxmlformats.org/officeDocument/2006/relationships/hyperlink" Target="mailto:vmazroue@ualberta.ca" TargetMode="External"/><Relationship Id="rId9" Type="http://schemas.openxmlformats.org/officeDocument/2006/relationships/hyperlink" Target="mailto:jpfleese@pcl.com" TargetMode="External"/><Relationship Id="rId14" Type="http://schemas.openxmlformats.org/officeDocument/2006/relationships/hyperlink" Target="mailto:kerrih@ah-steel.com" TargetMode="External"/><Relationship Id="rId22" Type="http://schemas.openxmlformats.org/officeDocument/2006/relationships/hyperlink" Target="mailto:sfitzsimmons@makeprojects.ca" TargetMode="External"/><Relationship Id="rId27" Type="http://schemas.openxmlformats.org/officeDocument/2006/relationships/hyperlink" Target="mailto:sremtulla@deveraux.ca"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ryan@wilden.ca" TargetMode="External"/><Relationship Id="rId13" Type="http://schemas.openxmlformats.org/officeDocument/2006/relationships/hyperlink" Target="mailto:Nicola@dukemanagement.ca" TargetMode="External"/><Relationship Id="rId3" Type="http://schemas.openxmlformats.org/officeDocument/2006/relationships/hyperlink" Target="mailto:jeff@greenstonedevelopments.ca" TargetMode="External"/><Relationship Id="rId7" Type="http://schemas.openxmlformats.org/officeDocument/2006/relationships/hyperlink" Target="mailto:astrautins@traine.ca" TargetMode="External"/><Relationship Id="rId12" Type="http://schemas.openxmlformats.org/officeDocument/2006/relationships/hyperlink" Target="mailto:ian@westrichpacific.com" TargetMode="External"/><Relationship Id="rId2" Type="http://schemas.openxmlformats.org/officeDocument/2006/relationships/hyperlink" Target="mailto:jim-mai@shaw.ca" TargetMode="External"/><Relationship Id="rId1" Type="http://schemas.openxmlformats.org/officeDocument/2006/relationships/hyperlink" Target="mailto:hayers1@live.com" TargetMode="External"/><Relationship Id="rId6" Type="http://schemas.openxmlformats.org/officeDocument/2006/relationships/hyperlink" Target="mailto:jsilcock@denciti.ca" TargetMode="External"/><Relationship Id="rId11" Type="http://schemas.openxmlformats.org/officeDocument/2006/relationships/hyperlink" Target="mailto:AL@mundiconstruction.ca" TargetMode="External"/><Relationship Id="rId5" Type="http://schemas.openxmlformats.org/officeDocument/2006/relationships/hyperlink" Target="mailto:usman@newtownservices.net" TargetMode="External"/><Relationship Id="rId10" Type="http://schemas.openxmlformats.org/officeDocument/2006/relationships/hyperlink" Target="mailto:mark@mgaarch.ca" TargetMode="External"/><Relationship Id="rId4" Type="http://schemas.openxmlformats.org/officeDocument/2006/relationships/hyperlink" Target="mailto:aaron.gietema@holardevelopments.com" TargetMode="External"/><Relationship Id="rId9" Type="http://schemas.openxmlformats.org/officeDocument/2006/relationships/hyperlink" Target="mailto:wilson@ridgenorthamerica.ca" TargetMode="External"/><Relationship Id="rId1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2F7C-4747-4273-86DA-524B5AF9FD81}">
  <dimension ref="A1:H38"/>
  <sheetViews>
    <sheetView topLeftCell="A10" zoomScale="70" zoomScaleNormal="70" workbookViewId="0">
      <selection activeCell="F19" sqref="F19"/>
    </sheetView>
  </sheetViews>
  <sheetFormatPr defaultRowHeight="15"/>
  <cols>
    <col min="1" max="1" width="40.28515625" customWidth="1"/>
    <col min="2" max="2" width="13.140625" customWidth="1"/>
    <col min="3" max="3" width="27.28515625" customWidth="1"/>
    <col min="4" max="4" width="26.85546875" customWidth="1"/>
    <col min="5" max="5" width="27" customWidth="1"/>
    <col min="6" max="6" width="26.85546875" customWidth="1"/>
    <col min="7" max="7" width="20.42578125" customWidth="1"/>
    <col min="8" max="8" width="11" customWidth="1"/>
  </cols>
  <sheetData>
    <row r="1" spans="1:8" ht="26.25">
      <c r="A1" s="33" t="s">
        <v>0</v>
      </c>
      <c r="D1" s="33" t="s">
        <v>1</v>
      </c>
    </row>
    <row r="2" spans="1:8">
      <c r="H2" t="s">
        <v>2</v>
      </c>
    </row>
    <row r="3" spans="1:8" s="47" customFormat="1" ht="42">
      <c r="A3" s="46" t="s">
        <v>3</v>
      </c>
      <c r="B3" s="46" t="s">
        <v>4</v>
      </c>
      <c r="C3" s="46" t="s">
        <v>5</v>
      </c>
      <c r="D3" s="46" t="s">
        <v>6</v>
      </c>
      <c r="E3" s="46" t="s">
        <v>7</v>
      </c>
      <c r="F3" s="46" t="s">
        <v>8</v>
      </c>
      <c r="G3" s="46" t="s">
        <v>9</v>
      </c>
    </row>
    <row r="5" spans="1:8" ht="21">
      <c r="A5" s="39" t="s">
        <v>10</v>
      </c>
      <c r="B5" s="40">
        <f>'Vancouver; Lower Mainland'!A25</f>
        <v>19</v>
      </c>
      <c r="C5" s="41">
        <f>'Vancouver; Lower Mainland'!J25</f>
        <v>905000</v>
      </c>
      <c r="D5" s="40"/>
      <c r="E5" s="41">
        <f>'Vancouver; Lower Mainland'!K25</f>
        <v>610000</v>
      </c>
      <c r="F5" s="40"/>
      <c r="G5" s="48">
        <f t="shared" ref="G5:G9" si="0">E5/C5</f>
        <v>0.67403314917127077</v>
      </c>
    </row>
    <row r="6" spans="1:8" ht="21">
      <c r="A6" s="39" t="s">
        <v>11</v>
      </c>
      <c r="B6" s="40">
        <f>'Vancouver Island'!A7</f>
        <v>1</v>
      </c>
      <c r="C6" s="41">
        <f>'Vancouver Island'!J7</f>
        <v>0.01</v>
      </c>
      <c r="D6" s="40"/>
      <c r="E6" s="41">
        <f>'Vancouver Island'!K7</f>
        <v>0</v>
      </c>
      <c r="F6" s="40"/>
      <c r="G6" s="48">
        <f t="shared" si="0"/>
        <v>0</v>
      </c>
    </row>
    <row r="7" spans="1:8" ht="21">
      <c r="A7" s="39" t="s">
        <v>12</v>
      </c>
      <c r="B7" s="40">
        <f>'Okanagan; BC Interior'!A20</f>
        <v>15</v>
      </c>
      <c r="C7" s="41">
        <f>'Okanagan; BC Interior'!J20</f>
        <v>461000</v>
      </c>
      <c r="D7" s="40"/>
      <c r="E7" s="41">
        <f>'Okanagan; BC Interior'!K20</f>
        <v>91000</v>
      </c>
      <c r="F7" s="40"/>
      <c r="G7" s="48">
        <f t="shared" si="0"/>
        <v>0.19739696312364424</v>
      </c>
    </row>
    <row r="8" spans="1:8" ht="21">
      <c r="A8" s="39" t="s">
        <v>13</v>
      </c>
      <c r="B8" s="40">
        <f>Alberta!A37</f>
        <v>0</v>
      </c>
      <c r="C8" s="41">
        <f>Alberta!J37</f>
        <v>798000</v>
      </c>
      <c r="D8" s="40"/>
      <c r="E8" s="41">
        <f>Alberta!K37</f>
        <v>0</v>
      </c>
      <c r="F8" s="40"/>
      <c r="G8" s="48">
        <f t="shared" si="0"/>
        <v>0</v>
      </c>
    </row>
    <row r="9" spans="1:8" ht="21">
      <c r="A9" s="39" t="s">
        <v>14</v>
      </c>
      <c r="B9" s="40">
        <f>'Eastern Canada'!A7</f>
        <v>1</v>
      </c>
      <c r="C9" s="41">
        <f>'Eastern Canada'!J7</f>
        <v>0.01</v>
      </c>
      <c r="D9" s="40"/>
      <c r="E9" s="41">
        <f>'Eastern Canada'!K7</f>
        <v>0</v>
      </c>
      <c r="F9" s="40"/>
      <c r="G9" s="48">
        <f t="shared" si="0"/>
        <v>0</v>
      </c>
    </row>
    <row r="10" spans="1:8" ht="21">
      <c r="A10" s="39" t="s">
        <v>15</v>
      </c>
      <c r="B10" s="40">
        <f>USA!A23</f>
        <v>17</v>
      </c>
      <c r="C10" s="41">
        <f>D10*H10</f>
        <v>2022320.0000000002</v>
      </c>
      <c r="D10" s="41">
        <f>USA!K23</f>
        <v>1487000</v>
      </c>
      <c r="E10" s="41">
        <f>F10*H10</f>
        <v>0</v>
      </c>
      <c r="F10" s="41">
        <f>USA!L23</f>
        <v>0</v>
      </c>
      <c r="G10" s="48">
        <f>E10/C10</f>
        <v>0</v>
      </c>
      <c r="H10">
        <v>1.36</v>
      </c>
    </row>
    <row r="11" spans="1:8" ht="15.75" thickBot="1"/>
    <row r="12" spans="1:8" ht="21.75" thickTop="1">
      <c r="A12" s="42" t="s">
        <v>16</v>
      </c>
      <c r="B12" s="43">
        <f>SUM(B5:B11)</f>
        <v>53</v>
      </c>
      <c r="C12" s="44">
        <f t="shared" ref="C12:E12" si="1">SUM(C5:C11)</f>
        <v>4186320.0199999996</v>
      </c>
      <c r="D12" s="44">
        <f t="shared" si="1"/>
        <v>1487000</v>
      </c>
      <c r="E12" s="44">
        <f t="shared" si="1"/>
        <v>701000</v>
      </c>
      <c r="F12" s="45">
        <f t="shared" ref="F12" si="2">SUM(F5:F11)</f>
        <v>0</v>
      </c>
      <c r="G12" s="49">
        <f>E12/C12</f>
        <v>0.16745017023328285</v>
      </c>
    </row>
    <row r="17" spans="1:3">
      <c r="A17" s="63" t="s">
        <v>17</v>
      </c>
    </row>
    <row r="19" spans="1:3">
      <c r="A19" t="s">
        <v>18</v>
      </c>
      <c r="B19" t="s">
        <v>19</v>
      </c>
    </row>
    <row r="20" spans="1:3">
      <c r="C20" t="s">
        <v>20</v>
      </c>
    </row>
    <row r="21" spans="1:3">
      <c r="C21" t="s">
        <v>21</v>
      </c>
    </row>
    <row r="22" spans="1:3">
      <c r="C22" t="s">
        <v>22</v>
      </c>
    </row>
    <row r="23" spans="1:3">
      <c r="C23" t="s">
        <v>23</v>
      </c>
    </row>
    <row r="24" spans="1:3">
      <c r="C24" t="s">
        <v>24</v>
      </c>
    </row>
    <row r="25" spans="1:3">
      <c r="B25" t="s">
        <v>25</v>
      </c>
    </row>
    <row r="26" spans="1:3">
      <c r="B26" t="s">
        <v>26</v>
      </c>
    </row>
    <row r="27" spans="1:3">
      <c r="B27" t="s">
        <v>27</v>
      </c>
    </row>
    <row r="28" spans="1:3">
      <c r="B28" t="s">
        <v>28</v>
      </c>
    </row>
    <row r="29" spans="1:3">
      <c r="B29" t="s">
        <v>29</v>
      </c>
    </row>
    <row r="30" spans="1:3">
      <c r="B30" t="s">
        <v>30</v>
      </c>
    </row>
    <row r="31" spans="1:3">
      <c r="C31" t="s">
        <v>31</v>
      </c>
    </row>
    <row r="32" spans="1:3">
      <c r="C32" t="s">
        <v>32</v>
      </c>
    </row>
    <row r="33" spans="2:3">
      <c r="C33" t="s">
        <v>33</v>
      </c>
    </row>
    <row r="34" spans="2:3">
      <c r="C34" t="s">
        <v>34</v>
      </c>
    </row>
    <row r="35" spans="2:3">
      <c r="B35" t="s">
        <v>35</v>
      </c>
    </row>
    <row r="36" spans="2:3">
      <c r="B36" t="s">
        <v>36</v>
      </c>
    </row>
    <row r="37" spans="2:3">
      <c r="B37" t="s">
        <v>37</v>
      </c>
    </row>
    <row r="38" spans="2:3">
      <c r="B38" t="s">
        <v>38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1D398-600C-4BCB-9054-CFCC70B9CB5A}">
  <sheetPr>
    <pageSetUpPr fitToPage="1"/>
  </sheetPr>
  <dimension ref="A1:N605"/>
  <sheetViews>
    <sheetView zoomScaleNormal="100" workbookViewId="0">
      <pane ySplit="3" topLeftCell="A4" activePane="bottomLeft" state="frozen"/>
      <selection pane="bottomLeft" activeCell="E6" sqref="D6:E6"/>
    </sheetView>
  </sheetViews>
  <sheetFormatPr defaultRowHeight="15"/>
  <cols>
    <col min="1" max="1" width="5.7109375" customWidth="1"/>
    <col min="2" max="2" width="11.85546875" style="12" customWidth="1"/>
    <col min="3" max="3" width="20.7109375" style="12" customWidth="1"/>
    <col min="4" max="4" width="22.140625" style="8" customWidth="1"/>
    <col min="5" max="5" width="28.42578125" style="8" customWidth="1"/>
    <col min="6" max="6" width="46.42578125" style="8" customWidth="1"/>
    <col min="7" max="7" width="15.42578125" style="8" customWidth="1"/>
    <col min="8" max="8" width="16" style="8" customWidth="1"/>
    <col min="9" max="9" width="43.42578125" style="5" customWidth="1"/>
    <col min="10" max="10" width="22.140625" style="5" customWidth="1"/>
    <col min="11" max="11" width="24.42578125" style="5" customWidth="1"/>
    <col min="12" max="12" width="107.5703125" style="3" customWidth="1"/>
    <col min="13" max="13" width="32.85546875" customWidth="1"/>
    <col min="14" max="14" width="2.5703125" customWidth="1"/>
    <col min="16" max="16" width="13.85546875" bestFit="1" customWidth="1"/>
  </cols>
  <sheetData>
    <row r="1" spans="1:12" ht="26.25">
      <c r="A1" s="22" t="s">
        <v>39</v>
      </c>
    </row>
    <row r="2" spans="1:12" s="1" customFormat="1">
      <c r="D2" s="14"/>
      <c r="E2" s="14"/>
      <c r="F2" s="14"/>
      <c r="G2" s="14"/>
      <c r="H2" s="14"/>
      <c r="I2" s="5"/>
      <c r="J2" s="32"/>
      <c r="K2" s="5"/>
      <c r="L2" s="5"/>
    </row>
    <row r="3" spans="1:12" s="27" customFormat="1">
      <c r="A3" s="29" t="s">
        <v>40</v>
      </c>
      <c r="B3" s="28" t="s">
        <v>41</v>
      </c>
      <c r="C3" s="28" t="s">
        <v>42</v>
      </c>
      <c r="D3" s="29" t="s">
        <v>43</v>
      </c>
      <c r="E3" s="29" t="s">
        <v>44</v>
      </c>
      <c r="F3" s="29" t="s">
        <v>45</v>
      </c>
      <c r="G3" s="29" t="s">
        <v>46</v>
      </c>
      <c r="H3" s="29" t="s">
        <v>47</v>
      </c>
      <c r="I3" s="30" t="s">
        <v>48</v>
      </c>
      <c r="J3" s="30" t="s">
        <v>49</v>
      </c>
      <c r="K3" s="30" t="s">
        <v>50</v>
      </c>
      <c r="L3" s="27" t="s">
        <v>51</v>
      </c>
    </row>
    <row r="4" spans="1:12" s="1" customFormat="1" ht="45">
      <c r="A4" s="17">
        <v>1</v>
      </c>
      <c r="B4" s="23">
        <v>45666</v>
      </c>
      <c r="C4" s="23" t="s">
        <v>52</v>
      </c>
      <c r="D4" s="14" t="s">
        <v>53</v>
      </c>
      <c r="E4" s="14" t="s">
        <v>54</v>
      </c>
      <c r="F4" s="31" t="s">
        <v>55</v>
      </c>
      <c r="G4" s="14" t="s">
        <v>56</v>
      </c>
      <c r="H4" s="14" t="s">
        <v>57</v>
      </c>
      <c r="I4" s="5" t="s">
        <v>58</v>
      </c>
      <c r="J4" s="25">
        <v>200000</v>
      </c>
      <c r="K4" s="25">
        <v>200000</v>
      </c>
      <c r="L4" s="5" t="s">
        <v>59</v>
      </c>
    </row>
    <row r="5" spans="1:12" s="1" customFormat="1" ht="60">
      <c r="A5" s="17">
        <v>2</v>
      </c>
      <c r="B5" s="23">
        <v>45728</v>
      </c>
      <c r="C5" s="23" t="s">
        <v>52</v>
      </c>
      <c r="D5" s="14" t="s">
        <v>60</v>
      </c>
      <c r="E5" s="14" t="s">
        <v>61</v>
      </c>
      <c r="F5" s="31"/>
      <c r="G5" s="8" t="s">
        <v>56</v>
      </c>
      <c r="H5" s="14" t="s">
        <v>57</v>
      </c>
      <c r="I5" s="5" t="s">
        <v>62</v>
      </c>
      <c r="J5" s="25"/>
      <c r="K5" s="25"/>
      <c r="L5" s="5" t="s">
        <v>63</v>
      </c>
    </row>
    <row r="6" spans="1:12" s="1" customFormat="1" ht="45">
      <c r="A6" s="17">
        <v>3</v>
      </c>
      <c r="B6" s="23">
        <v>45966</v>
      </c>
      <c r="C6" s="23" t="s">
        <v>52</v>
      </c>
      <c r="D6" s="14" t="s">
        <v>64</v>
      </c>
      <c r="E6" s="14" t="s">
        <v>65</v>
      </c>
      <c r="F6" s="31" t="s">
        <v>66</v>
      </c>
      <c r="G6" s="8" t="s">
        <v>56</v>
      </c>
      <c r="H6" s="14" t="s">
        <v>57</v>
      </c>
      <c r="I6" s="5" t="s">
        <v>67</v>
      </c>
      <c r="J6" s="25">
        <v>530000</v>
      </c>
      <c r="K6" s="25">
        <v>300000</v>
      </c>
      <c r="L6" s="5" t="s">
        <v>68</v>
      </c>
    </row>
    <row r="7" spans="1:12" s="1" customFormat="1">
      <c r="A7" s="17">
        <v>4</v>
      </c>
      <c r="B7" s="23">
        <v>46065</v>
      </c>
      <c r="C7" s="23" t="s">
        <v>69</v>
      </c>
      <c r="D7" s="14" t="s">
        <v>70</v>
      </c>
      <c r="E7" s="14" t="s">
        <v>71</v>
      </c>
      <c r="F7" s="31"/>
      <c r="G7" s="8" t="s">
        <v>56</v>
      </c>
      <c r="H7" s="14" t="s">
        <v>72</v>
      </c>
      <c r="I7" s="5" t="s">
        <v>73</v>
      </c>
      <c r="J7" s="25"/>
      <c r="K7" s="25"/>
      <c r="L7" s="5" t="s">
        <v>74</v>
      </c>
    </row>
    <row r="8" spans="1:12" s="1" customFormat="1">
      <c r="A8" s="17">
        <v>5</v>
      </c>
      <c r="B8" s="23">
        <v>46002</v>
      </c>
      <c r="C8" s="23" t="s">
        <v>69</v>
      </c>
      <c r="D8" s="14" t="s">
        <v>75</v>
      </c>
      <c r="E8" s="14" t="s">
        <v>76</v>
      </c>
      <c r="F8" s="31"/>
      <c r="G8" s="8" t="s">
        <v>56</v>
      </c>
      <c r="H8" s="14" t="s">
        <v>72</v>
      </c>
      <c r="I8" s="5"/>
      <c r="J8" s="25"/>
      <c r="K8" s="25"/>
      <c r="L8" s="5" t="s">
        <v>77</v>
      </c>
    </row>
    <row r="9" spans="1:12" s="1" customFormat="1">
      <c r="A9" s="17">
        <v>6</v>
      </c>
      <c r="B9" s="23">
        <v>45975</v>
      </c>
      <c r="C9" s="23" t="s">
        <v>78</v>
      </c>
      <c r="D9" s="14" t="s">
        <v>79</v>
      </c>
      <c r="E9" s="14" t="s">
        <v>80</v>
      </c>
      <c r="F9" s="31" t="s">
        <v>81</v>
      </c>
      <c r="G9" s="8" t="s">
        <v>56</v>
      </c>
      <c r="H9" s="14" t="s">
        <v>57</v>
      </c>
      <c r="I9" s="5" t="s">
        <v>82</v>
      </c>
      <c r="J9" s="25">
        <v>65000</v>
      </c>
      <c r="K9" s="25"/>
      <c r="L9" s="5" t="s">
        <v>83</v>
      </c>
    </row>
    <row r="10" spans="1:12" s="1" customFormat="1">
      <c r="A10" s="17">
        <v>7</v>
      </c>
      <c r="B10" s="23">
        <v>45981</v>
      </c>
      <c r="C10" s="23" t="s">
        <v>69</v>
      </c>
      <c r="D10" s="14" t="s">
        <v>84</v>
      </c>
      <c r="E10" s="14" t="s">
        <v>85</v>
      </c>
      <c r="F10" s="31"/>
      <c r="G10" s="8" t="s">
        <v>56</v>
      </c>
      <c r="H10" s="14" t="s">
        <v>86</v>
      </c>
      <c r="I10" s="5" t="s">
        <v>87</v>
      </c>
      <c r="J10" s="25"/>
      <c r="K10" s="25"/>
      <c r="L10" s="5" t="s">
        <v>88</v>
      </c>
    </row>
    <row r="11" spans="1:12" s="1" customFormat="1">
      <c r="A11" s="17">
        <v>8</v>
      </c>
      <c r="B11" s="23">
        <v>45909</v>
      </c>
      <c r="C11" s="23" t="s">
        <v>69</v>
      </c>
      <c r="D11" s="14" t="s">
        <v>89</v>
      </c>
      <c r="E11" s="14" t="s">
        <v>90</v>
      </c>
      <c r="F11" s="31"/>
      <c r="G11" s="8" t="s">
        <v>56</v>
      </c>
      <c r="H11" s="14" t="s">
        <v>86</v>
      </c>
      <c r="I11" s="5" t="s">
        <v>91</v>
      </c>
      <c r="J11" s="25"/>
      <c r="K11" s="25"/>
      <c r="L11" s="5" t="s">
        <v>92</v>
      </c>
    </row>
    <row r="12" spans="1:12" s="1" customFormat="1">
      <c r="A12" s="17">
        <v>9</v>
      </c>
      <c r="B12" s="23">
        <v>46045</v>
      </c>
      <c r="C12" s="23" t="s">
        <v>78</v>
      </c>
      <c r="D12" s="14" t="s">
        <v>93</v>
      </c>
      <c r="E12" s="14" t="s">
        <v>94</v>
      </c>
      <c r="F12" s="31" t="s">
        <v>95</v>
      </c>
      <c r="G12" s="8" t="s">
        <v>56</v>
      </c>
      <c r="H12" s="14" t="s">
        <v>57</v>
      </c>
      <c r="I12" s="5"/>
      <c r="J12" s="25"/>
      <c r="K12" s="25"/>
      <c r="L12" s="5" t="s">
        <v>96</v>
      </c>
    </row>
    <row r="13" spans="1:12" s="1" customFormat="1" ht="31.5" customHeight="1">
      <c r="A13" s="17">
        <v>10</v>
      </c>
      <c r="B13" s="23">
        <v>46078</v>
      </c>
      <c r="C13" s="23" t="s">
        <v>97</v>
      </c>
      <c r="D13" s="14" t="s">
        <v>98</v>
      </c>
      <c r="E13" s="14" t="s">
        <v>99</v>
      </c>
      <c r="F13" s="31" t="s">
        <v>100</v>
      </c>
      <c r="G13" s="8" t="s">
        <v>101</v>
      </c>
      <c r="H13" s="14" t="s">
        <v>102</v>
      </c>
      <c r="I13" s="5"/>
      <c r="J13" s="25"/>
      <c r="K13" s="25"/>
      <c r="L13" s="5" t="s">
        <v>103</v>
      </c>
    </row>
    <row r="14" spans="1:12" s="1" customFormat="1" ht="30">
      <c r="A14" s="17">
        <v>11</v>
      </c>
      <c r="B14" s="23">
        <v>46083</v>
      </c>
      <c r="C14" s="23" t="s">
        <v>78</v>
      </c>
      <c r="D14" s="14" t="s">
        <v>104</v>
      </c>
      <c r="E14" s="14" t="s">
        <v>105</v>
      </c>
      <c r="F14" s="31" t="s">
        <v>106</v>
      </c>
      <c r="G14" s="8" t="s">
        <v>56</v>
      </c>
      <c r="H14" s="14" t="s">
        <v>72</v>
      </c>
      <c r="I14" s="5"/>
      <c r="J14" s="25"/>
      <c r="K14" s="25"/>
      <c r="L14" s="5" t="s">
        <v>107</v>
      </c>
    </row>
    <row r="15" spans="1:12" s="1" customFormat="1">
      <c r="A15" s="17">
        <v>12</v>
      </c>
      <c r="B15" s="23">
        <v>46108</v>
      </c>
      <c r="C15" s="23" t="s">
        <v>78</v>
      </c>
      <c r="D15" s="14" t="s">
        <v>108</v>
      </c>
      <c r="E15" s="14" t="s">
        <v>109</v>
      </c>
      <c r="F15" s="31" t="s">
        <v>110</v>
      </c>
      <c r="G15" s="8" t="s">
        <v>111</v>
      </c>
      <c r="H15" s="14" t="s">
        <v>57</v>
      </c>
      <c r="I15" s="5"/>
      <c r="J15" s="25"/>
      <c r="K15" s="25"/>
      <c r="L15" s="5" t="s">
        <v>112</v>
      </c>
    </row>
    <row r="16" spans="1:12" s="1" customFormat="1" ht="30">
      <c r="A16" s="17">
        <v>13</v>
      </c>
      <c r="B16" s="23">
        <v>46107</v>
      </c>
      <c r="C16" s="23" t="s">
        <v>97</v>
      </c>
      <c r="D16" s="14" t="s">
        <v>113</v>
      </c>
      <c r="E16" s="14" t="s">
        <v>114</v>
      </c>
      <c r="F16" s="31" t="s">
        <v>115</v>
      </c>
      <c r="G16" s="8" t="s">
        <v>56</v>
      </c>
      <c r="H16" s="14" t="s">
        <v>116</v>
      </c>
      <c r="I16" s="5"/>
      <c r="J16" s="25"/>
      <c r="K16" s="25"/>
      <c r="L16" s="5" t="s">
        <v>117</v>
      </c>
    </row>
    <row r="17" spans="1:12" s="1" customFormat="1">
      <c r="A17" s="17">
        <v>14</v>
      </c>
      <c r="B17" s="23">
        <v>46118</v>
      </c>
      <c r="C17" s="23" t="s">
        <v>78</v>
      </c>
      <c r="D17" s="14" t="s">
        <v>118</v>
      </c>
      <c r="E17" s="14" t="s">
        <v>119</v>
      </c>
      <c r="F17" s="31" t="s">
        <v>120</v>
      </c>
      <c r="G17" s="8" t="s">
        <v>56</v>
      </c>
      <c r="H17" s="14" t="s">
        <v>121</v>
      </c>
      <c r="I17" s="5" t="s">
        <v>122</v>
      </c>
      <c r="J17" s="25">
        <v>110000</v>
      </c>
      <c r="K17" s="25">
        <v>110000</v>
      </c>
      <c r="L17" s="5" t="s">
        <v>123</v>
      </c>
    </row>
    <row r="18" spans="1:12" s="1" customFormat="1" ht="30">
      <c r="A18" s="17">
        <v>15</v>
      </c>
      <c r="B18" s="23">
        <v>45980</v>
      </c>
      <c r="C18" s="23" t="s">
        <v>69</v>
      </c>
      <c r="D18" s="14" t="s">
        <v>124</v>
      </c>
      <c r="E18" s="14" t="s">
        <v>125</v>
      </c>
      <c r="F18" s="31" t="s">
        <v>126</v>
      </c>
      <c r="G18" s="14" t="s">
        <v>56</v>
      </c>
      <c r="H18" s="14" t="s">
        <v>57</v>
      </c>
      <c r="I18" s="5" t="s">
        <v>87</v>
      </c>
      <c r="J18" s="25"/>
      <c r="K18" s="5"/>
      <c r="L18" s="5" t="s">
        <v>127</v>
      </c>
    </row>
    <row r="19" spans="1:12" s="1" customFormat="1">
      <c r="A19" s="17">
        <v>16</v>
      </c>
      <c r="B19" s="23">
        <v>46120</v>
      </c>
      <c r="C19" s="23" t="s">
        <v>69</v>
      </c>
      <c r="D19" s="14" t="s">
        <v>128</v>
      </c>
      <c r="E19" s="14" t="s">
        <v>129</v>
      </c>
      <c r="F19" s="31" t="s">
        <v>130</v>
      </c>
      <c r="G19" s="14" t="s">
        <v>56</v>
      </c>
      <c r="H19" s="14" t="s">
        <v>57</v>
      </c>
      <c r="I19" s="5" t="s">
        <v>131</v>
      </c>
      <c r="J19" s="25"/>
      <c r="K19" s="5"/>
      <c r="L19" s="5"/>
    </row>
    <row r="20" spans="1:12" s="1" customFormat="1">
      <c r="A20" s="17">
        <v>17</v>
      </c>
      <c r="B20" s="23">
        <v>45618</v>
      </c>
      <c r="C20" s="23" t="s">
        <v>69</v>
      </c>
      <c r="D20" s="14" t="s">
        <v>132</v>
      </c>
      <c r="E20" s="14" t="s">
        <v>133</v>
      </c>
      <c r="F20" s="31"/>
      <c r="G20" s="14" t="s">
        <v>134</v>
      </c>
      <c r="H20" s="14" t="s">
        <v>72</v>
      </c>
      <c r="I20" s="5"/>
      <c r="J20" s="25"/>
      <c r="K20" s="5"/>
      <c r="L20" s="5" t="s">
        <v>77</v>
      </c>
    </row>
    <row r="21" spans="1:12" s="1" customFormat="1" ht="15.75" thickBot="1">
      <c r="A21" s="17">
        <v>18</v>
      </c>
      <c r="B21" s="23">
        <v>46133</v>
      </c>
      <c r="C21" s="23" t="s">
        <v>69</v>
      </c>
      <c r="D21" s="14" t="s">
        <v>135</v>
      </c>
      <c r="E21" s="14" t="s">
        <v>136</v>
      </c>
      <c r="F21" s="31"/>
      <c r="G21" s="14" t="s">
        <v>137</v>
      </c>
      <c r="H21" s="14" t="s">
        <v>86</v>
      </c>
      <c r="I21" s="5" t="s">
        <v>138</v>
      </c>
      <c r="J21" s="25"/>
      <c r="K21" s="5"/>
      <c r="L21" s="5" t="s">
        <v>139</v>
      </c>
    </row>
    <row r="22" spans="1:12" s="1" customFormat="1">
      <c r="A22" s="17">
        <v>19</v>
      </c>
      <c r="B22" s="23">
        <v>46133</v>
      </c>
      <c r="C22" s="23" t="s">
        <v>69</v>
      </c>
      <c r="D22" s="14" t="s">
        <v>140</v>
      </c>
      <c r="E22" s="14" t="s">
        <v>141</v>
      </c>
      <c r="F22" s="31"/>
      <c r="G22" s="14" t="s">
        <v>137</v>
      </c>
      <c r="H22" s="14" t="s">
        <v>86</v>
      </c>
      <c r="I22" s="5" t="s">
        <v>138</v>
      </c>
      <c r="J22" s="25"/>
      <c r="K22" s="5"/>
      <c r="L22" s="5" t="s">
        <v>139</v>
      </c>
    </row>
    <row r="23" spans="1:12" s="1" customFormat="1">
      <c r="A23" s="17"/>
      <c r="B23" s="23"/>
      <c r="C23" s="23"/>
      <c r="D23" s="14"/>
      <c r="E23" s="14"/>
      <c r="F23" s="31"/>
      <c r="G23" s="14"/>
      <c r="H23" s="14"/>
      <c r="I23" s="5"/>
      <c r="J23" s="25"/>
      <c r="K23" s="5"/>
      <c r="L23" s="5"/>
    </row>
    <row r="24" spans="1:12" s="1" customFormat="1" ht="15.75" thickTop="1">
      <c r="A24" s="34" t="s">
        <v>16</v>
      </c>
      <c r="B24" s="35"/>
      <c r="C24" s="35"/>
      <c r="D24" s="36"/>
      <c r="E24" s="36"/>
      <c r="F24" s="36"/>
      <c r="G24" s="36"/>
      <c r="H24" s="36"/>
      <c r="I24" s="37"/>
      <c r="J24" s="38"/>
      <c r="K24" s="37"/>
      <c r="L24" s="37"/>
    </row>
    <row r="25" spans="1:12" s="1" customFormat="1">
      <c r="A25" s="24">
        <f>A22</f>
        <v>19</v>
      </c>
      <c r="B25" s="23"/>
      <c r="C25" s="23"/>
      <c r="D25" s="14"/>
      <c r="E25" s="14"/>
      <c r="F25" s="14"/>
      <c r="G25" s="14"/>
      <c r="H25" s="14"/>
      <c r="I25" s="5"/>
      <c r="J25" s="25">
        <f>SUM(J4:J22)</f>
        <v>905000</v>
      </c>
      <c r="K25" s="25">
        <f>SUM(K4:K22)</f>
        <v>610000</v>
      </c>
      <c r="L25" s="5"/>
    </row>
    <row r="26" spans="1:12" s="1" customFormat="1">
      <c r="A26" s="24"/>
      <c r="B26" s="23"/>
      <c r="C26" s="23"/>
      <c r="D26" s="14"/>
      <c r="E26" s="14"/>
      <c r="F26" s="14"/>
      <c r="G26" s="14"/>
      <c r="H26" s="14"/>
      <c r="I26" s="5"/>
      <c r="J26" s="25"/>
      <c r="K26" s="25"/>
      <c r="L26" s="5"/>
    </row>
    <row r="27" spans="1:12" s="1" customFormat="1">
      <c r="A27" s="24"/>
      <c r="B27" s="23"/>
      <c r="C27" s="23"/>
      <c r="D27" s="14"/>
      <c r="E27" s="14"/>
      <c r="F27" s="14"/>
      <c r="G27" s="14"/>
      <c r="H27" s="14"/>
      <c r="I27" s="5"/>
      <c r="J27" s="25"/>
      <c r="K27" s="25"/>
      <c r="L27" s="5"/>
    </row>
    <row r="28" spans="1:12" s="1" customFormat="1">
      <c r="A28" s="24"/>
      <c r="B28" s="23"/>
      <c r="C28" s="23"/>
      <c r="D28" s="14"/>
      <c r="E28" s="14"/>
      <c r="F28" s="14"/>
      <c r="G28" s="14"/>
      <c r="H28" s="14"/>
      <c r="I28" s="5"/>
      <c r="J28" s="25"/>
      <c r="K28" s="25"/>
      <c r="L28" s="5"/>
    </row>
    <row r="29" spans="1:12" s="1" customFormat="1">
      <c r="A29" s="24"/>
      <c r="B29" s="23"/>
      <c r="C29" s="23"/>
      <c r="D29" s="14"/>
      <c r="E29" s="14"/>
      <c r="F29" s="14"/>
      <c r="G29" s="14"/>
      <c r="H29" s="14"/>
      <c r="I29" s="5"/>
      <c r="J29" s="25"/>
      <c r="K29" s="25"/>
      <c r="L29" s="5"/>
    </row>
    <row r="30" spans="1:12" s="1" customFormat="1">
      <c r="A30" s="24"/>
      <c r="B30" s="23"/>
      <c r="C30" s="23"/>
      <c r="D30" s="14"/>
      <c r="E30" s="14"/>
      <c r="F30" s="14"/>
      <c r="G30" s="14"/>
      <c r="H30" s="14"/>
      <c r="I30" s="5"/>
      <c r="J30" s="25"/>
      <c r="K30" s="25"/>
      <c r="L30" s="5"/>
    </row>
    <row r="31" spans="1:12" s="1" customFormat="1">
      <c r="A31" s="24"/>
      <c r="B31" s="23"/>
      <c r="C31" s="23"/>
      <c r="D31" s="14"/>
      <c r="E31" s="14"/>
      <c r="F31" s="14"/>
      <c r="G31" s="14"/>
      <c r="H31" s="14"/>
      <c r="I31" s="5"/>
      <c r="J31" s="25"/>
      <c r="K31" s="25"/>
      <c r="L31" s="5"/>
    </row>
    <row r="32" spans="1:12" s="1" customFormat="1">
      <c r="A32" s="15" t="s">
        <v>142</v>
      </c>
      <c r="B32" s="23"/>
      <c r="C32" s="23"/>
      <c r="D32" s="14"/>
      <c r="E32" s="14"/>
      <c r="F32" s="14"/>
      <c r="G32" s="14"/>
      <c r="H32" s="14"/>
      <c r="I32" s="5"/>
      <c r="J32" s="25"/>
      <c r="K32" s="5"/>
      <c r="L32" s="5"/>
    </row>
    <row r="33" spans="1:12" s="1" customFormat="1">
      <c r="A33" s="17"/>
      <c r="B33" s="23">
        <v>45876</v>
      </c>
      <c r="C33" s="23" t="s">
        <v>69</v>
      </c>
      <c r="D33" s="14" t="s">
        <v>143</v>
      </c>
      <c r="E33" s="1" t="s">
        <v>144</v>
      </c>
      <c r="F33" s="31"/>
      <c r="G33" s="14" t="s">
        <v>56</v>
      </c>
      <c r="H33" s="14"/>
      <c r="I33" s="5" t="s">
        <v>145</v>
      </c>
      <c r="J33" s="25"/>
      <c r="K33" s="5"/>
      <c r="L33" s="5" t="s">
        <v>146</v>
      </c>
    </row>
    <row r="34" spans="1:12" s="1" customFormat="1">
      <c r="A34" s="17"/>
      <c r="B34" s="23">
        <v>45722</v>
      </c>
      <c r="C34" s="23" t="s">
        <v>52</v>
      </c>
      <c r="D34" s="14" t="s">
        <v>147</v>
      </c>
      <c r="E34" s="14" t="s">
        <v>148</v>
      </c>
      <c r="F34" s="14"/>
      <c r="G34" s="14" t="s">
        <v>149</v>
      </c>
      <c r="H34" s="14"/>
      <c r="I34" s="5" t="s">
        <v>145</v>
      </c>
      <c r="J34" s="25"/>
      <c r="K34" s="5"/>
      <c r="L34" s="5" t="s">
        <v>146</v>
      </c>
    </row>
    <row r="35" spans="1:12" s="1" customFormat="1" ht="30">
      <c r="A35" s="17"/>
      <c r="B35" s="23">
        <v>46058</v>
      </c>
      <c r="C35" s="23" t="s">
        <v>69</v>
      </c>
      <c r="D35" s="14" t="s">
        <v>150</v>
      </c>
      <c r="E35" s="14" t="s">
        <v>151</v>
      </c>
      <c r="F35" s="14"/>
      <c r="G35" s="14" t="s">
        <v>56</v>
      </c>
      <c r="H35" s="14"/>
      <c r="I35" s="5" t="s">
        <v>152</v>
      </c>
      <c r="J35" s="25"/>
      <c r="K35" s="5"/>
      <c r="L35" s="5" t="s">
        <v>153</v>
      </c>
    </row>
    <row r="36" spans="1:12" s="1" customFormat="1">
      <c r="A36" s="17"/>
      <c r="B36" s="23"/>
      <c r="C36" s="23" t="s">
        <v>52</v>
      </c>
      <c r="D36" s="14" t="s">
        <v>154</v>
      </c>
      <c r="E36" s="14"/>
      <c r="F36" s="14"/>
      <c r="G36" s="14" t="s">
        <v>56</v>
      </c>
      <c r="H36" s="14"/>
      <c r="I36" s="5"/>
      <c r="J36" s="25"/>
      <c r="K36" s="5"/>
      <c r="L36" s="5" t="s">
        <v>155</v>
      </c>
    </row>
    <row r="37" spans="1:12" s="1" customFormat="1">
      <c r="A37" s="24"/>
      <c r="B37" s="23"/>
      <c r="C37" s="23"/>
      <c r="D37" s="14"/>
      <c r="E37" s="14"/>
      <c r="F37" s="14"/>
      <c r="G37" s="14"/>
      <c r="H37" s="14"/>
      <c r="I37" s="5"/>
      <c r="J37" s="25"/>
      <c r="K37" s="5"/>
      <c r="L37" s="5"/>
    </row>
    <row r="38" spans="1:12" s="1" customFormat="1">
      <c r="A38" s="24"/>
      <c r="B38" s="23"/>
      <c r="C38" s="23"/>
      <c r="D38" s="14"/>
      <c r="E38" s="14"/>
      <c r="F38" s="14"/>
      <c r="G38" s="14"/>
      <c r="H38" s="14"/>
      <c r="I38" s="5"/>
      <c r="J38" s="25"/>
      <c r="K38" s="5"/>
      <c r="L38" s="5"/>
    </row>
    <row r="39" spans="1:12" s="1" customFormat="1">
      <c r="A39" s="24"/>
      <c r="B39" s="23"/>
      <c r="C39" s="23"/>
      <c r="D39" s="14"/>
      <c r="E39" s="14"/>
      <c r="F39" s="14"/>
      <c r="G39" s="14"/>
      <c r="H39" s="14"/>
      <c r="I39" s="5"/>
      <c r="J39" s="25"/>
      <c r="K39" s="5"/>
      <c r="L39" s="5"/>
    </row>
    <row r="40" spans="1:12" s="1" customFormat="1">
      <c r="A40" s="24"/>
      <c r="B40" s="23"/>
      <c r="C40" s="23"/>
      <c r="D40" s="14"/>
      <c r="E40" s="14"/>
      <c r="F40" s="14"/>
      <c r="G40" s="14"/>
      <c r="H40" s="14"/>
      <c r="I40" s="5"/>
      <c r="J40" s="25"/>
      <c r="K40" s="5"/>
      <c r="L40" s="5"/>
    </row>
    <row r="41" spans="1:12" s="1" customFormat="1">
      <c r="A41" s="24"/>
      <c r="B41" s="23"/>
      <c r="C41" s="23"/>
      <c r="D41" s="14"/>
      <c r="E41" s="14"/>
      <c r="F41" s="14"/>
      <c r="G41" s="14"/>
      <c r="H41" s="14"/>
      <c r="I41" s="5"/>
      <c r="J41" s="25"/>
      <c r="K41" s="5"/>
      <c r="L41" s="5"/>
    </row>
    <row r="42" spans="1:12" s="1" customFormat="1">
      <c r="A42" s="24"/>
      <c r="B42" s="23"/>
      <c r="C42" s="23"/>
      <c r="D42" s="14"/>
      <c r="E42" s="14"/>
      <c r="F42" s="14"/>
      <c r="G42" s="14"/>
      <c r="H42" s="14"/>
      <c r="I42" s="5"/>
      <c r="J42" s="25"/>
      <c r="K42" s="5"/>
      <c r="L42" s="5"/>
    </row>
    <row r="43" spans="1:12" s="1" customFormat="1">
      <c r="A43" s="24"/>
      <c r="B43" s="26"/>
      <c r="C43" s="23"/>
      <c r="D43" s="14"/>
      <c r="E43" s="14"/>
      <c r="F43" s="14"/>
      <c r="G43" s="14"/>
      <c r="H43" s="14"/>
      <c r="I43" s="5"/>
      <c r="J43" s="25"/>
      <c r="K43" s="5"/>
      <c r="L43" s="5"/>
    </row>
    <row r="44" spans="1:12" s="1" customFormat="1">
      <c r="B44" s="17"/>
      <c r="C44" s="17"/>
      <c r="D44" s="14"/>
      <c r="E44" s="14"/>
      <c r="F44" s="14"/>
      <c r="G44" s="14"/>
      <c r="H44" s="14"/>
      <c r="I44" s="5"/>
      <c r="J44" s="5"/>
      <c r="K44" s="5"/>
      <c r="L44" s="5"/>
    </row>
    <row r="45" spans="1:12" s="1" customFormat="1">
      <c r="B45" s="17"/>
      <c r="C45" s="17"/>
      <c r="D45" s="14"/>
      <c r="E45" s="14"/>
      <c r="F45" s="14"/>
      <c r="G45" s="14"/>
      <c r="H45" s="14"/>
      <c r="I45" s="5"/>
      <c r="J45" s="5"/>
      <c r="K45" s="5"/>
      <c r="L45" s="5"/>
    </row>
    <row r="46" spans="1:12" s="1" customFormat="1">
      <c r="B46" s="17"/>
      <c r="C46" s="17"/>
      <c r="D46" s="14"/>
      <c r="E46" s="14"/>
      <c r="F46" s="14"/>
      <c r="G46" s="14"/>
      <c r="H46" s="14"/>
      <c r="I46" s="5"/>
      <c r="J46" s="5"/>
      <c r="K46" s="5"/>
      <c r="L46" s="5"/>
    </row>
    <row r="47" spans="1:12" s="1" customFormat="1">
      <c r="B47" s="17"/>
      <c r="C47" s="17"/>
      <c r="D47" s="14"/>
      <c r="E47" s="14"/>
      <c r="F47" s="14"/>
      <c r="G47" s="14"/>
      <c r="H47" s="14"/>
      <c r="I47" s="5"/>
      <c r="J47" s="5"/>
      <c r="K47" s="5"/>
      <c r="L47" s="5"/>
    </row>
    <row r="48" spans="1:12" s="1" customFormat="1">
      <c r="B48" s="17"/>
      <c r="C48" s="17"/>
      <c r="D48" s="14"/>
      <c r="E48" s="14"/>
      <c r="F48" s="14"/>
      <c r="G48" s="14"/>
      <c r="H48" s="14"/>
      <c r="I48" s="5"/>
      <c r="J48" s="5"/>
      <c r="K48" s="5"/>
      <c r="L48" s="5"/>
    </row>
    <row r="49" spans="2:12" s="1" customFormat="1">
      <c r="B49" s="17"/>
      <c r="C49" s="17"/>
      <c r="D49" s="14"/>
      <c r="E49" s="14"/>
      <c r="F49" s="14"/>
      <c r="G49" s="14"/>
      <c r="H49" s="14"/>
      <c r="I49" s="5"/>
      <c r="J49" s="5"/>
      <c r="K49" s="5"/>
      <c r="L49" s="5"/>
    </row>
    <row r="50" spans="2:12" s="1" customFormat="1">
      <c r="B50" s="17"/>
      <c r="C50" s="17"/>
      <c r="D50" s="14"/>
      <c r="E50" s="14"/>
      <c r="F50" s="14"/>
      <c r="G50" s="14"/>
      <c r="H50" s="14"/>
      <c r="I50" s="5"/>
      <c r="J50" s="5"/>
      <c r="K50" s="5"/>
      <c r="L50" s="5"/>
    </row>
    <row r="51" spans="2:12" s="1" customFormat="1">
      <c r="B51" s="17"/>
      <c r="C51" s="17"/>
      <c r="D51" s="14"/>
      <c r="E51" s="14"/>
      <c r="F51" s="14"/>
      <c r="G51" s="14"/>
      <c r="H51" s="14"/>
      <c r="I51" s="5"/>
      <c r="J51" s="5"/>
      <c r="K51" s="5"/>
      <c r="L51" s="5"/>
    </row>
    <row r="52" spans="2:12" s="1" customFormat="1">
      <c r="B52" s="17"/>
      <c r="C52" s="17"/>
      <c r="D52" s="14"/>
      <c r="E52" s="14"/>
      <c r="F52" s="14"/>
      <c r="G52" s="14"/>
      <c r="H52" s="14"/>
      <c r="I52" s="5"/>
      <c r="J52" s="5"/>
      <c r="K52" s="5"/>
      <c r="L52" s="5"/>
    </row>
    <row r="53" spans="2:12" s="1" customFormat="1">
      <c r="B53" s="17"/>
      <c r="C53" s="17"/>
      <c r="D53" s="14"/>
      <c r="E53" s="14"/>
      <c r="F53" s="14"/>
      <c r="G53" s="14"/>
      <c r="H53" s="14"/>
      <c r="I53" s="5"/>
      <c r="J53" s="5"/>
      <c r="K53" s="5"/>
      <c r="L53" s="5"/>
    </row>
    <row r="54" spans="2:12" s="1" customFormat="1">
      <c r="B54" s="17"/>
      <c r="C54" s="17"/>
      <c r="D54" s="14"/>
      <c r="E54" s="14"/>
      <c r="F54" s="14"/>
      <c r="G54" s="14"/>
      <c r="H54" s="14"/>
      <c r="I54" s="5"/>
      <c r="J54" s="5"/>
      <c r="K54" s="5"/>
      <c r="L54" s="5"/>
    </row>
    <row r="55" spans="2:12" s="1" customFormat="1">
      <c r="B55" s="17"/>
      <c r="C55" s="17"/>
      <c r="D55" s="14"/>
      <c r="E55" s="14"/>
      <c r="F55" s="14"/>
      <c r="G55" s="14"/>
      <c r="H55" s="14"/>
      <c r="I55" s="5"/>
      <c r="J55" s="5"/>
      <c r="K55" s="5"/>
      <c r="L55" s="5"/>
    </row>
    <row r="56" spans="2:12" s="1" customFormat="1">
      <c r="B56" s="17"/>
      <c r="C56" s="17"/>
      <c r="D56" s="14"/>
      <c r="E56" s="14"/>
      <c r="F56" s="14"/>
      <c r="G56" s="14"/>
      <c r="H56" s="14"/>
      <c r="I56" s="5"/>
      <c r="J56" s="5"/>
      <c r="K56" s="5"/>
      <c r="L56" s="5"/>
    </row>
    <row r="57" spans="2:12" s="1" customFormat="1">
      <c r="B57" s="17"/>
      <c r="C57" s="17"/>
      <c r="D57" s="14"/>
      <c r="E57" s="14"/>
      <c r="F57" s="14"/>
      <c r="G57" s="14"/>
      <c r="H57" s="14"/>
      <c r="I57" s="5"/>
      <c r="J57" s="5"/>
      <c r="K57" s="5"/>
      <c r="L57" s="5"/>
    </row>
    <row r="58" spans="2:12" s="1" customFormat="1">
      <c r="B58" s="17"/>
      <c r="C58" s="17"/>
      <c r="D58" s="14"/>
      <c r="E58" s="14"/>
      <c r="F58" s="14"/>
      <c r="G58" s="14"/>
      <c r="H58" s="14"/>
      <c r="I58" s="5"/>
      <c r="J58" s="5"/>
      <c r="K58" s="5"/>
      <c r="L58" s="5"/>
    </row>
    <row r="59" spans="2:12" s="1" customFormat="1">
      <c r="B59" s="17"/>
      <c r="C59" s="17"/>
      <c r="D59" s="14"/>
      <c r="E59" s="14"/>
      <c r="F59" s="14"/>
      <c r="G59" s="14"/>
      <c r="H59" s="14"/>
      <c r="I59" s="5"/>
      <c r="J59" s="5"/>
      <c r="K59" s="5"/>
      <c r="L59" s="5"/>
    </row>
    <row r="60" spans="2:12" s="1" customFormat="1">
      <c r="B60" s="17"/>
      <c r="C60" s="17"/>
      <c r="D60" s="14"/>
      <c r="E60" s="14"/>
      <c r="F60" s="14"/>
      <c r="G60" s="14"/>
      <c r="H60" s="14"/>
      <c r="I60" s="5"/>
      <c r="J60" s="5"/>
      <c r="K60" s="5"/>
      <c r="L60" s="5"/>
    </row>
    <row r="61" spans="2:12" s="1" customFormat="1">
      <c r="B61" s="17"/>
      <c r="C61" s="17"/>
      <c r="D61" s="14"/>
      <c r="E61" s="14"/>
      <c r="F61" s="14"/>
      <c r="G61" s="14"/>
      <c r="H61" s="14"/>
      <c r="I61" s="5"/>
      <c r="J61" s="5"/>
      <c r="K61" s="5"/>
      <c r="L61" s="5"/>
    </row>
    <row r="62" spans="2:12" s="1" customFormat="1">
      <c r="B62" s="17"/>
      <c r="C62" s="17"/>
      <c r="D62" s="14"/>
      <c r="E62" s="14"/>
      <c r="F62" s="14"/>
      <c r="G62" s="14"/>
      <c r="H62" s="14"/>
      <c r="I62" s="5"/>
      <c r="J62" s="5"/>
      <c r="K62" s="5"/>
      <c r="L62" s="5"/>
    </row>
    <row r="63" spans="2:12" s="1" customFormat="1">
      <c r="B63" s="17"/>
      <c r="C63" s="17"/>
      <c r="D63" s="14"/>
      <c r="E63" s="14"/>
      <c r="F63" s="14"/>
      <c r="G63" s="14"/>
      <c r="H63" s="14"/>
      <c r="I63" s="5"/>
      <c r="J63" s="5"/>
      <c r="K63" s="5"/>
      <c r="L63" s="5"/>
    </row>
    <row r="64" spans="2:12" s="1" customFormat="1">
      <c r="B64" s="17"/>
      <c r="C64" s="17"/>
      <c r="D64" s="14"/>
      <c r="E64" s="14"/>
      <c r="F64" s="14"/>
      <c r="G64" s="14"/>
      <c r="H64" s="14"/>
      <c r="I64" s="5"/>
      <c r="J64" s="5"/>
      <c r="K64" s="5"/>
      <c r="L64" s="5"/>
    </row>
    <row r="65" spans="2:12" s="1" customFormat="1">
      <c r="B65" s="17"/>
      <c r="C65" s="17"/>
      <c r="D65" s="14"/>
      <c r="E65" s="14"/>
      <c r="F65" s="14"/>
      <c r="G65" s="14"/>
      <c r="H65" s="14"/>
      <c r="I65" s="5"/>
      <c r="J65" s="5"/>
      <c r="K65" s="5"/>
      <c r="L65" s="5"/>
    </row>
    <row r="66" spans="2:12" s="1" customFormat="1">
      <c r="B66" s="17"/>
      <c r="C66" s="17"/>
      <c r="D66" s="14"/>
      <c r="E66" s="14"/>
      <c r="F66" s="14"/>
      <c r="G66" s="14"/>
      <c r="H66" s="14"/>
      <c r="I66" s="5"/>
      <c r="J66" s="5"/>
      <c r="K66" s="5"/>
      <c r="L66" s="5"/>
    </row>
    <row r="67" spans="2:12" s="1" customFormat="1">
      <c r="B67" s="17"/>
      <c r="C67" s="17"/>
      <c r="D67" s="14"/>
      <c r="E67" s="14"/>
      <c r="F67" s="14"/>
      <c r="G67" s="14"/>
      <c r="H67" s="14"/>
      <c r="I67" s="5"/>
      <c r="J67" s="5"/>
      <c r="K67" s="5"/>
      <c r="L67" s="5"/>
    </row>
    <row r="68" spans="2:12" s="1" customFormat="1">
      <c r="B68" s="17"/>
      <c r="C68" s="17"/>
      <c r="D68" s="14"/>
      <c r="E68" s="14"/>
      <c r="F68" s="14"/>
      <c r="G68" s="14"/>
      <c r="H68" s="14"/>
      <c r="I68" s="5"/>
      <c r="J68" s="5"/>
      <c r="K68" s="5"/>
      <c r="L68" s="5"/>
    </row>
    <row r="69" spans="2:12" s="1" customFormat="1">
      <c r="B69" s="17"/>
      <c r="C69" s="17"/>
      <c r="D69" s="14"/>
      <c r="E69" s="14"/>
      <c r="F69" s="14"/>
      <c r="G69" s="14"/>
      <c r="H69" s="14"/>
      <c r="I69" s="5"/>
      <c r="J69" s="5"/>
      <c r="K69" s="5"/>
      <c r="L69" s="5"/>
    </row>
    <row r="70" spans="2:12" s="1" customFormat="1">
      <c r="B70" s="17"/>
      <c r="C70" s="17"/>
      <c r="D70" s="14"/>
      <c r="E70" s="14"/>
      <c r="F70" s="14"/>
      <c r="G70" s="14"/>
      <c r="H70" s="14"/>
      <c r="I70" s="5"/>
      <c r="J70" s="5"/>
      <c r="K70" s="5"/>
      <c r="L70" s="5"/>
    </row>
    <row r="71" spans="2:12" s="1" customFormat="1">
      <c r="B71" s="17"/>
      <c r="C71" s="17"/>
      <c r="D71" s="14"/>
      <c r="E71" s="14"/>
      <c r="F71" s="14"/>
      <c r="G71" s="14"/>
      <c r="H71" s="14"/>
      <c r="I71" s="5"/>
      <c r="J71" s="5"/>
      <c r="K71" s="5"/>
      <c r="L71" s="5"/>
    </row>
    <row r="72" spans="2:12" s="1" customFormat="1">
      <c r="B72" s="17"/>
      <c r="C72" s="17"/>
      <c r="D72" s="14"/>
      <c r="E72" s="14"/>
      <c r="F72" s="14"/>
      <c r="G72" s="14"/>
      <c r="H72" s="14"/>
      <c r="I72" s="5"/>
      <c r="J72" s="5"/>
      <c r="K72" s="5"/>
      <c r="L72" s="5"/>
    </row>
    <row r="73" spans="2:12" s="1" customFormat="1">
      <c r="B73" s="17"/>
      <c r="C73" s="17"/>
      <c r="D73" s="14"/>
      <c r="E73" s="14"/>
      <c r="F73" s="14"/>
      <c r="G73" s="14"/>
      <c r="H73" s="14"/>
      <c r="I73" s="5"/>
      <c r="J73" s="5"/>
      <c r="K73" s="5"/>
      <c r="L73" s="5"/>
    </row>
    <row r="74" spans="2:12" s="1" customFormat="1">
      <c r="B74" s="17"/>
      <c r="C74" s="17"/>
      <c r="D74" s="14"/>
      <c r="E74" s="14"/>
      <c r="F74" s="14"/>
      <c r="G74" s="14"/>
      <c r="H74" s="14"/>
      <c r="I74" s="5"/>
      <c r="J74" s="5"/>
      <c r="K74" s="5"/>
      <c r="L74" s="5"/>
    </row>
    <row r="75" spans="2:12" s="1" customFormat="1">
      <c r="B75" s="17"/>
      <c r="C75" s="17"/>
      <c r="D75" s="14"/>
      <c r="E75" s="14"/>
      <c r="F75" s="14"/>
      <c r="G75" s="14"/>
      <c r="H75" s="14"/>
      <c r="I75" s="5"/>
      <c r="J75" s="5"/>
      <c r="K75" s="5"/>
      <c r="L75" s="5"/>
    </row>
    <row r="76" spans="2:12" s="1" customFormat="1">
      <c r="B76" s="17"/>
      <c r="C76" s="17"/>
      <c r="D76" s="14"/>
      <c r="E76" s="14"/>
      <c r="F76" s="14"/>
      <c r="G76" s="14"/>
      <c r="H76" s="14"/>
      <c r="I76" s="5"/>
      <c r="J76" s="5"/>
      <c r="K76" s="5"/>
      <c r="L76" s="5"/>
    </row>
    <row r="77" spans="2:12" s="1" customFormat="1">
      <c r="B77" s="17"/>
      <c r="C77" s="17"/>
      <c r="D77" s="14"/>
      <c r="E77" s="14"/>
      <c r="F77" s="14"/>
      <c r="G77" s="14"/>
      <c r="H77" s="14"/>
      <c r="I77" s="5"/>
      <c r="J77" s="5"/>
      <c r="K77" s="5"/>
      <c r="L77" s="5"/>
    </row>
    <row r="78" spans="2:12" s="1" customFormat="1">
      <c r="B78" s="17"/>
      <c r="C78" s="17"/>
      <c r="D78" s="14"/>
      <c r="E78" s="14"/>
      <c r="F78" s="14"/>
      <c r="G78" s="14"/>
      <c r="H78" s="14"/>
      <c r="I78" s="5"/>
      <c r="J78" s="5"/>
      <c r="K78" s="5"/>
      <c r="L78" s="5"/>
    </row>
    <row r="79" spans="2:12" s="1" customFormat="1">
      <c r="B79" s="17"/>
      <c r="C79" s="17"/>
      <c r="D79" s="14"/>
      <c r="E79" s="14"/>
      <c r="F79" s="14"/>
      <c r="G79" s="14"/>
      <c r="H79" s="14"/>
      <c r="I79" s="5"/>
      <c r="J79" s="5"/>
      <c r="K79" s="5"/>
      <c r="L79" s="5"/>
    </row>
    <row r="80" spans="2:12" s="1" customFormat="1">
      <c r="B80" s="17"/>
      <c r="C80" s="17"/>
      <c r="D80" s="14"/>
      <c r="E80" s="14"/>
      <c r="F80" s="14"/>
      <c r="G80" s="14"/>
      <c r="H80" s="14"/>
      <c r="I80" s="5"/>
      <c r="J80" s="5"/>
      <c r="K80" s="5"/>
      <c r="L80" s="5"/>
    </row>
    <row r="81" spans="2:12" s="1" customFormat="1">
      <c r="B81" s="17"/>
      <c r="C81" s="17"/>
      <c r="D81" s="14"/>
      <c r="E81" s="14"/>
      <c r="F81" s="14"/>
      <c r="G81" s="14"/>
      <c r="H81" s="14"/>
      <c r="I81" s="5"/>
      <c r="J81" s="5"/>
      <c r="K81" s="5"/>
      <c r="L81" s="5"/>
    </row>
    <row r="82" spans="2:12" s="1" customFormat="1">
      <c r="B82" s="17"/>
      <c r="C82" s="17"/>
      <c r="D82" s="14"/>
      <c r="E82" s="14"/>
      <c r="F82" s="14"/>
      <c r="G82" s="14"/>
      <c r="H82" s="14"/>
      <c r="I82" s="5"/>
      <c r="J82" s="5"/>
      <c r="K82" s="5"/>
      <c r="L82" s="5"/>
    </row>
    <row r="83" spans="2:12" s="1" customFormat="1">
      <c r="B83" s="17"/>
      <c r="C83" s="17"/>
      <c r="D83" s="14"/>
      <c r="E83" s="14"/>
      <c r="F83" s="14"/>
      <c r="G83" s="14"/>
      <c r="H83" s="14"/>
      <c r="I83" s="5"/>
      <c r="J83" s="5"/>
      <c r="K83" s="5"/>
      <c r="L83" s="5"/>
    </row>
    <row r="84" spans="2:12" s="1" customFormat="1">
      <c r="B84" s="17"/>
      <c r="C84" s="17"/>
      <c r="D84" s="14"/>
      <c r="E84" s="14"/>
      <c r="F84" s="14"/>
      <c r="G84" s="14"/>
      <c r="H84" s="14"/>
      <c r="I84" s="5"/>
      <c r="J84" s="5"/>
      <c r="K84" s="5"/>
      <c r="L84" s="5"/>
    </row>
    <row r="85" spans="2:12" s="1" customFormat="1">
      <c r="B85" s="17"/>
      <c r="C85" s="17"/>
      <c r="D85" s="14"/>
      <c r="E85" s="14"/>
      <c r="F85" s="14"/>
      <c r="G85" s="14"/>
      <c r="H85" s="14"/>
      <c r="I85" s="5"/>
      <c r="J85" s="5"/>
      <c r="K85" s="5"/>
      <c r="L85" s="5"/>
    </row>
    <row r="86" spans="2:12" s="1" customFormat="1">
      <c r="B86" s="17"/>
      <c r="C86" s="17"/>
      <c r="D86" s="14"/>
      <c r="E86" s="14"/>
      <c r="F86" s="14"/>
      <c r="G86" s="14"/>
      <c r="H86" s="14"/>
      <c r="I86" s="5"/>
      <c r="J86" s="5"/>
      <c r="K86" s="5"/>
      <c r="L86" s="5"/>
    </row>
    <row r="87" spans="2:12" s="1" customFormat="1">
      <c r="B87" s="17"/>
      <c r="C87" s="17"/>
      <c r="D87" s="14"/>
      <c r="E87" s="14"/>
      <c r="F87" s="14"/>
      <c r="G87" s="14"/>
      <c r="H87" s="14"/>
      <c r="I87" s="5"/>
      <c r="J87" s="5"/>
      <c r="K87" s="5"/>
      <c r="L87" s="5"/>
    </row>
    <row r="88" spans="2:12" s="1" customFormat="1">
      <c r="B88" s="17"/>
      <c r="C88" s="17"/>
      <c r="D88" s="14"/>
      <c r="E88" s="14"/>
      <c r="F88" s="14"/>
      <c r="G88" s="14"/>
      <c r="H88" s="14"/>
      <c r="I88" s="5"/>
      <c r="J88" s="5"/>
      <c r="K88" s="5"/>
      <c r="L88" s="5"/>
    </row>
    <row r="89" spans="2:12" s="1" customFormat="1">
      <c r="B89" s="17"/>
      <c r="C89" s="17"/>
      <c r="D89" s="14"/>
      <c r="E89" s="14"/>
      <c r="F89" s="14"/>
      <c r="G89" s="14"/>
      <c r="H89" s="14"/>
      <c r="I89" s="5"/>
      <c r="J89" s="5"/>
      <c r="K89" s="5"/>
      <c r="L89" s="5"/>
    </row>
    <row r="90" spans="2:12" s="1" customFormat="1">
      <c r="B90" s="17"/>
      <c r="C90" s="17"/>
      <c r="D90" s="14"/>
      <c r="E90" s="14"/>
      <c r="F90" s="14"/>
      <c r="G90" s="14"/>
      <c r="H90" s="14"/>
      <c r="I90" s="5"/>
      <c r="J90" s="5"/>
      <c r="K90" s="5"/>
      <c r="L90" s="5"/>
    </row>
    <row r="91" spans="2:12" s="1" customFormat="1">
      <c r="B91" s="17"/>
      <c r="C91" s="17"/>
      <c r="D91" s="14"/>
      <c r="E91" s="14"/>
      <c r="F91" s="14"/>
      <c r="G91" s="14"/>
      <c r="H91" s="14"/>
      <c r="I91" s="5"/>
      <c r="J91" s="5"/>
      <c r="K91" s="5"/>
      <c r="L91" s="5"/>
    </row>
    <row r="92" spans="2:12" s="1" customFormat="1">
      <c r="B92" s="17"/>
      <c r="C92" s="17"/>
      <c r="D92" s="14"/>
      <c r="E92" s="14"/>
      <c r="F92" s="14"/>
      <c r="G92" s="14"/>
      <c r="H92" s="14"/>
      <c r="I92" s="5"/>
      <c r="J92" s="5"/>
      <c r="K92" s="5"/>
      <c r="L92" s="5"/>
    </row>
    <row r="93" spans="2:12" s="1" customFormat="1">
      <c r="B93" s="17"/>
      <c r="C93" s="17"/>
      <c r="D93" s="14"/>
      <c r="E93" s="14"/>
      <c r="F93" s="14"/>
      <c r="G93" s="14"/>
      <c r="H93" s="14"/>
      <c r="I93" s="5"/>
      <c r="J93" s="5"/>
      <c r="K93" s="5"/>
      <c r="L93" s="5"/>
    </row>
    <row r="94" spans="2:12" s="1" customFormat="1">
      <c r="B94" s="17"/>
      <c r="C94" s="17"/>
      <c r="D94" s="14"/>
      <c r="E94" s="14"/>
      <c r="F94" s="14"/>
      <c r="G94" s="14"/>
      <c r="H94" s="14"/>
      <c r="I94" s="5"/>
      <c r="J94" s="5"/>
      <c r="K94" s="5"/>
      <c r="L94" s="5"/>
    </row>
    <row r="95" spans="2:12" s="1" customFormat="1">
      <c r="B95" s="17"/>
      <c r="C95" s="17"/>
      <c r="D95" s="14"/>
      <c r="E95" s="14"/>
      <c r="F95" s="14"/>
      <c r="G95" s="14"/>
      <c r="H95" s="14"/>
      <c r="I95" s="5"/>
      <c r="J95" s="5"/>
      <c r="K95" s="5"/>
      <c r="L95" s="5"/>
    </row>
    <row r="96" spans="2:12" s="1" customFormat="1">
      <c r="B96" s="17"/>
      <c r="C96" s="17"/>
      <c r="D96" s="14"/>
      <c r="E96" s="14"/>
      <c r="F96" s="14"/>
      <c r="G96" s="14"/>
      <c r="H96" s="14"/>
      <c r="I96" s="5"/>
      <c r="J96" s="5"/>
      <c r="K96" s="5"/>
      <c r="L96" s="5"/>
    </row>
    <row r="97" spans="2:14" s="1" customFormat="1">
      <c r="B97" s="17"/>
      <c r="C97" s="17"/>
      <c r="D97" s="14"/>
      <c r="E97" s="14"/>
      <c r="F97" s="14"/>
      <c r="G97" s="14"/>
      <c r="H97" s="14"/>
      <c r="I97" s="5"/>
      <c r="J97" s="5"/>
      <c r="K97" s="5"/>
      <c r="L97" s="5"/>
    </row>
    <row r="98" spans="2:14" s="1" customFormat="1">
      <c r="B98" s="17"/>
      <c r="C98" s="17"/>
      <c r="D98" s="14"/>
      <c r="E98" s="14"/>
      <c r="F98" s="14"/>
      <c r="G98" s="14"/>
      <c r="H98" s="14"/>
      <c r="I98" s="5"/>
      <c r="J98" s="5"/>
      <c r="K98" s="5"/>
      <c r="L98" s="5"/>
    </row>
    <row r="99" spans="2:14" s="1" customFormat="1">
      <c r="B99" s="17"/>
      <c r="C99" s="17"/>
      <c r="D99" s="14"/>
      <c r="E99" s="14"/>
      <c r="F99" s="14"/>
      <c r="G99" s="14"/>
      <c r="H99" s="14"/>
      <c r="I99" s="5"/>
      <c r="J99" s="5"/>
      <c r="K99" s="5"/>
      <c r="L99" s="5"/>
    </row>
    <row r="100" spans="2:14" s="1" customFormat="1">
      <c r="B100" s="17"/>
      <c r="C100" s="17"/>
      <c r="D100" s="14"/>
      <c r="E100" s="14"/>
      <c r="F100" s="14"/>
      <c r="G100" s="14"/>
      <c r="H100" s="14"/>
      <c r="I100" s="5"/>
      <c r="J100" s="5"/>
      <c r="K100" s="5"/>
      <c r="L100" s="5"/>
    </row>
    <row r="101" spans="2:14" s="1" customFormat="1">
      <c r="B101" s="17"/>
      <c r="C101" s="17"/>
      <c r="D101" s="14"/>
      <c r="E101" s="14"/>
      <c r="F101" s="14"/>
      <c r="G101" s="14"/>
      <c r="H101" s="14"/>
      <c r="I101" s="5"/>
      <c r="J101" s="5"/>
      <c r="K101" s="5"/>
      <c r="L101" s="5"/>
    </row>
    <row r="102" spans="2:14" s="1" customFormat="1">
      <c r="B102" s="17"/>
      <c r="C102" s="17"/>
      <c r="D102" s="14"/>
      <c r="E102" s="14"/>
      <c r="F102" s="14"/>
      <c r="G102" s="14"/>
      <c r="H102" s="14"/>
      <c r="I102" s="5"/>
      <c r="J102" s="5"/>
      <c r="K102" s="5"/>
      <c r="L102" s="5"/>
    </row>
    <row r="103" spans="2:14" s="1" customFormat="1">
      <c r="B103" s="17"/>
      <c r="C103" s="17"/>
      <c r="D103" s="14"/>
      <c r="E103" s="14"/>
      <c r="F103" s="14"/>
      <c r="G103" s="14"/>
      <c r="H103" s="14"/>
      <c r="I103" s="5"/>
      <c r="J103" s="5"/>
      <c r="K103" s="5"/>
      <c r="L103" s="5"/>
    </row>
    <row r="104" spans="2:14" s="1" customFormat="1">
      <c r="B104" s="17"/>
      <c r="C104" s="17"/>
      <c r="D104" s="14"/>
      <c r="E104" s="14"/>
      <c r="F104" s="14"/>
      <c r="G104" s="14"/>
      <c r="H104" s="14"/>
      <c r="I104" s="5"/>
      <c r="J104" s="5"/>
      <c r="K104" s="5"/>
      <c r="L104" s="5"/>
    </row>
    <row r="105" spans="2:14" s="1" customFormat="1">
      <c r="B105" s="17"/>
      <c r="C105" s="17"/>
      <c r="D105" s="14"/>
      <c r="E105" s="14"/>
      <c r="F105" s="14"/>
      <c r="G105" s="14"/>
      <c r="H105" s="14"/>
      <c r="I105" s="5"/>
      <c r="J105" s="5"/>
      <c r="K105" s="5"/>
      <c r="L105" s="5"/>
    </row>
    <row r="106" spans="2:14" s="1" customFormat="1">
      <c r="B106" s="17"/>
      <c r="C106" s="17"/>
      <c r="D106" s="14"/>
      <c r="E106" s="14"/>
      <c r="F106" s="14"/>
      <c r="G106" s="14"/>
      <c r="H106" s="14"/>
      <c r="I106" s="5"/>
      <c r="J106" s="5"/>
      <c r="K106" s="5"/>
      <c r="L106" s="5"/>
    </row>
    <row r="107" spans="2:14" s="1" customFormat="1">
      <c r="B107" s="17"/>
      <c r="C107" s="17"/>
      <c r="D107" s="14"/>
      <c r="E107" s="14"/>
      <c r="F107" s="14"/>
      <c r="G107" s="14"/>
      <c r="H107" s="14"/>
      <c r="I107" s="5"/>
      <c r="J107" s="5"/>
      <c r="K107" s="5"/>
      <c r="L107" s="5"/>
    </row>
    <row r="108" spans="2:14" s="1" customFormat="1">
      <c r="B108" s="17"/>
      <c r="C108" s="17"/>
      <c r="D108" s="14"/>
      <c r="E108" s="14"/>
      <c r="F108" s="14"/>
      <c r="G108" s="14"/>
      <c r="H108" s="14"/>
      <c r="I108" s="5"/>
      <c r="J108" s="5"/>
      <c r="K108" s="5"/>
      <c r="L108" s="5"/>
    </row>
    <row r="109" spans="2:14" s="1" customFormat="1">
      <c r="B109" s="17"/>
      <c r="C109" s="17"/>
      <c r="D109" s="14"/>
      <c r="E109" s="14"/>
      <c r="F109" s="14"/>
      <c r="G109" s="14"/>
      <c r="H109" s="14"/>
      <c r="I109" s="5"/>
      <c r="J109" s="5"/>
      <c r="K109" s="5"/>
      <c r="L109" s="5"/>
      <c r="N109" s="21"/>
    </row>
    <row r="110" spans="2:14" s="1" customFormat="1">
      <c r="B110" s="17"/>
      <c r="C110" s="17"/>
      <c r="D110" s="14"/>
      <c r="E110" s="14"/>
      <c r="F110" s="14"/>
      <c r="G110" s="14"/>
      <c r="H110" s="14"/>
      <c r="I110" s="5"/>
      <c r="J110" s="5"/>
      <c r="K110" s="5"/>
      <c r="L110" s="5"/>
    </row>
    <row r="111" spans="2:14" s="1" customFormat="1">
      <c r="B111" s="17"/>
      <c r="C111" s="17"/>
      <c r="D111" s="14"/>
      <c r="E111" s="14"/>
      <c r="F111" s="14"/>
      <c r="G111" s="14"/>
      <c r="H111" s="14"/>
      <c r="I111" s="5"/>
      <c r="J111" s="5"/>
      <c r="K111" s="5"/>
      <c r="L111" s="5"/>
    </row>
    <row r="112" spans="2:14" s="1" customFormat="1">
      <c r="B112" s="17"/>
      <c r="C112" s="17"/>
      <c r="D112" s="14"/>
      <c r="E112" s="14"/>
      <c r="F112" s="14"/>
      <c r="G112" s="14"/>
      <c r="H112" s="14"/>
      <c r="I112" s="5"/>
      <c r="J112" s="5"/>
      <c r="K112" s="5"/>
      <c r="L112" s="5"/>
    </row>
    <row r="113" spans="2:12" s="1" customFormat="1">
      <c r="B113" s="17"/>
      <c r="C113" s="17"/>
      <c r="D113" s="14"/>
      <c r="E113" s="14"/>
      <c r="F113" s="14"/>
      <c r="G113" s="14"/>
      <c r="H113" s="14"/>
      <c r="I113" s="5"/>
      <c r="J113" s="5"/>
      <c r="K113" s="5"/>
      <c r="L113" s="5"/>
    </row>
    <row r="114" spans="2:12" s="1" customFormat="1">
      <c r="B114" s="17"/>
      <c r="C114" s="17"/>
      <c r="D114" s="14"/>
      <c r="E114" s="14"/>
      <c r="F114" s="14"/>
      <c r="G114" s="14"/>
      <c r="H114" s="14"/>
      <c r="I114" s="5"/>
      <c r="J114" s="5"/>
      <c r="K114" s="5"/>
      <c r="L114" s="5"/>
    </row>
    <row r="115" spans="2:12" s="1" customFormat="1">
      <c r="B115" s="17"/>
      <c r="C115" s="17"/>
      <c r="D115" s="14"/>
      <c r="E115" s="14"/>
      <c r="F115" s="14"/>
      <c r="G115" s="14"/>
      <c r="H115" s="14"/>
      <c r="I115" s="5"/>
      <c r="J115" s="5"/>
      <c r="K115" s="5"/>
      <c r="L115" s="5"/>
    </row>
    <row r="116" spans="2:12" s="1" customFormat="1">
      <c r="B116" s="17"/>
      <c r="C116" s="17"/>
      <c r="D116" s="14"/>
      <c r="E116" s="14"/>
      <c r="F116" s="14"/>
      <c r="G116" s="14"/>
      <c r="H116" s="14"/>
      <c r="I116" s="5"/>
      <c r="J116" s="5"/>
      <c r="K116" s="5"/>
      <c r="L116" s="5"/>
    </row>
    <row r="117" spans="2:12" s="1" customFormat="1">
      <c r="B117" s="17"/>
      <c r="C117" s="17"/>
      <c r="D117" s="14"/>
      <c r="E117" s="14"/>
      <c r="F117" s="14"/>
      <c r="G117" s="14"/>
      <c r="H117" s="14"/>
      <c r="I117" s="5"/>
      <c r="J117" s="5"/>
      <c r="K117" s="5"/>
      <c r="L117" s="5"/>
    </row>
    <row r="118" spans="2:12" s="1" customFormat="1">
      <c r="B118" s="17"/>
      <c r="C118" s="17"/>
      <c r="D118" s="14"/>
      <c r="E118" s="14"/>
      <c r="F118" s="14"/>
      <c r="G118" s="14"/>
      <c r="H118" s="14"/>
      <c r="I118" s="5"/>
      <c r="J118" s="5"/>
      <c r="K118" s="5"/>
      <c r="L118" s="5"/>
    </row>
    <row r="119" spans="2:12" s="1" customFormat="1">
      <c r="B119" s="17"/>
      <c r="C119" s="17"/>
      <c r="D119" s="14"/>
      <c r="E119" s="14"/>
      <c r="F119" s="14"/>
      <c r="G119" s="14"/>
      <c r="H119" s="14"/>
      <c r="I119" s="5"/>
      <c r="J119" s="5"/>
      <c r="K119" s="5"/>
      <c r="L119" s="5"/>
    </row>
    <row r="120" spans="2:12" s="1" customFormat="1">
      <c r="B120" s="17"/>
      <c r="C120" s="17"/>
      <c r="D120" s="14"/>
      <c r="E120" s="14"/>
      <c r="F120" s="14"/>
      <c r="G120" s="14"/>
      <c r="H120" s="14"/>
      <c r="I120" s="5"/>
      <c r="J120" s="5"/>
      <c r="K120" s="5"/>
      <c r="L120" s="5"/>
    </row>
    <row r="121" spans="2:12" s="1" customFormat="1">
      <c r="B121" s="17"/>
      <c r="C121" s="17"/>
      <c r="D121" s="14"/>
      <c r="E121" s="14"/>
      <c r="F121" s="14"/>
      <c r="G121" s="14"/>
      <c r="H121" s="14"/>
      <c r="I121" s="5"/>
      <c r="J121" s="5"/>
      <c r="K121" s="5"/>
      <c r="L121" s="5"/>
    </row>
    <row r="122" spans="2:12" s="1" customFormat="1">
      <c r="B122" s="17"/>
      <c r="C122" s="17"/>
      <c r="D122" s="14"/>
      <c r="E122" s="14"/>
      <c r="F122" s="14"/>
      <c r="G122" s="14"/>
      <c r="H122" s="14"/>
      <c r="I122" s="5"/>
      <c r="J122" s="5"/>
      <c r="K122" s="5"/>
      <c r="L122" s="5"/>
    </row>
    <row r="123" spans="2:12" s="1" customFormat="1">
      <c r="B123" s="17"/>
      <c r="C123" s="17"/>
      <c r="D123" s="14"/>
      <c r="E123" s="14"/>
      <c r="F123" s="14"/>
      <c r="G123" s="14"/>
      <c r="H123" s="14"/>
      <c r="I123" s="5"/>
      <c r="J123" s="5"/>
      <c r="K123" s="5"/>
      <c r="L123" s="5"/>
    </row>
    <row r="124" spans="2:12" s="1" customFormat="1">
      <c r="B124" s="17"/>
      <c r="C124" s="17"/>
      <c r="D124" s="14"/>
      <c r="E124" s="14"/>
      <c r="F124" s="14"/>
      <c r="G124" s="14"/>
      <c r="H124" s="14"/>
      <c r="I124" s="5"/>
      <c r="J124" s="5"/>
      <c r="K124" s="5"/>
      <c r="L124" s="5"/>
    </row>
    <row r="125" spans="2:12" s="1" customFormat="1">
      <c r="B125" s="17"/>
      <c r="C125" s="17"/>
      <c r="D125" s="14"/>
      <c r="E125" s="14"/>
      <c r="F125" s="14"/>
      <c r="G125" s="14"/>
      <c r="H125" s="14"/>
      <c r="I125" s="5"/>
      <c r="J125" s="5"/>
      <c r="K125" s="5"/>
      <c r="L125" s="5"/>
    </row>
    <row r="126" spans="2:12" s="1" customFormat="1">
      <c r="B126" s="17"/>
      <c r="C126" s="17"/>
      <c r="D126" s="14"/>
      <c r="E126" s="14"/>
      <c r="F126" s="14"/>
      <c r="G126" s="14"/>
      <c r="H126" s="14"/>
      <c r="I126" s="5"/>
      <c r="J126" s="5"/>
      <c r="K126" s="5"/>
      <c r="L126" s="5"/>
    </row>
    <row r="127" spans="2:12" s="1" customFormat="1">
      <c r="B127" s="17"/>
      <c r="C127" s="17"/>
      <c r="D127" s="14"/>
      <c r="E127" s="14"/>
      <c r="F127" s="14"/>
      <c r="G127" s="14"/>
      <c r="H127" s="14"/>
      <c r="I127" s="5"/>
      <c r="J127" s="5"/>
      <c r="K127" s="5"/>
      <c r="L127" s="5"/>
    </row>
    <row r="128" spans="2:12" s="1" customFormat="1">
      <c r="B128" s="17"/>
      <c r="C128" s="17"/>
      <c r="D128" s="14"/>
      <c r="E128" s="14"/>
      <c r="F128" s="14"/>
      <c r="G128" s="14"/>
      <c r="H128" s="14"/>
      <c r="I128" s="5"/>
      <c r="J128" s="5"/>
      <c r="K128" s="5"/>
      <c r="L128" s="5"/>
    </row>
    <row r="129" spans="2:12" s="1" customFormat="1">
      <c r="B129" s="17"/>
      <c r="C129" s="17"/>
      <c r="D129" s="14"/>
      <c r="E129" s="14"/>
      <c r="F129" s="14"/>
      <c r="G129" s="14"/>
      <c r="H129" s="14"/>
      <c r="I129" s="5"/>
      <c r="J129" s="5"/>
      <c r="K129" s="5"/>
      <c r="L129" s="5"/>
    </row>
    <row r="130" spans="2:12" s="1" customFormat="1">
      <c r="B130" s="17"/>
      <c r="C130" s="17"/>
      <c r="D130" s="14"/>
      <c r="E130" s="14"/>
      <c r="F130" s="14"/>
      <c r="G130" s="14"/>
      <c r="H130" s="14"/>
      <c r="I130" s="5"/>
      <c r="J130" s="5"/>
      <c r="K130" s="5"/>
      <c r="L130" s="5"/>
    </row>
    <row r="131" spans="2:12" s="1" customFormat="1">
      <c r="B131" s="17"/>
      <c r="C131" s="17"/>
      <c r="D131" s="14"/>
      <c r="E131" s="14"/>
      <c r="F131" s="14"/>
      <c r="G131" s="14"/>
      <c r="H131" s="14"/>
      <c r="I131" s="5"/>
      <c r="J131" s="5"/>
      <c r="K131" s="5"/>
      <c r="L131" s="5"/>
    </row>
    <row r="132" spans="2:12" s="1" customFormat="1">
      <c r="B132" s="17"/>
      <c r="C132" s="17"/>
      <c r="D132" s="14"/>
      <c r="E132" s="14"/>
      <c r="F132" s="14"/>
      <c r="G132" s="14"/>
      <c r="H132" s="14"/>
      <c r="I132" s="5"/>
      <c r="J132" s="5"/>
      <c r="K132" s="5"/>
      <c r="L132" s="5"/>
    </row>
    <row r="133" spans="2:12" s="1" customFormat="1">
      <c r="B133" s="17"/>
      <c r="C133" s="17"/>
      <c r="D133" s="14"/>
      <c r="E133" s="14"/>
      <c r="F133" s="14"/>
      <c r="G133" s="14"/>
      <c r="H133" s="14"/>
      <c r="I133" s="5"/>
      <c r="J133" s="5"/>
      <c r="K133" s="5"/>
      <c r="L133" s="5"/>
    </row>
    <row r="134" spans="2:12" s="1" customFormat="1">
      <c r="B134" s="17"/>
      <c r="C134" s="17"/>
      <c r="D134" s="14"/>
      <c r="E134" s="14"/>
      <c r="F134" s="14"/>
      <c r="G134" s="14"/>
      <c r="H134" s="14"/>
      <c r="I134" s="5"/>
      <c r="J134" s="5"/>
      <c r="K134" s="5"/>
      <c r="L134" s="5"/>
    </row>
    <row r="135" spans="2:12" s="1" customFormat="1">
      <c r="B135" s="17"/>
      <c r="C135" s="17"/>
      <c r="D135" s="14"/>
      <c r="E135" s="14"/>
      <c r="F135" s="14"/>
      <c r="G135" s="14"/>
      <c r="H135" s="14"/>
      <c r="I135" s="5"/>
      <c r="J135" s="5"/>
      <c r="K135" s="5"/>
      <c r="L135" s="5"/>
    </row>
    <row r="136" spans="2:12" s="1" customFormat="1">
      <c r="B136" s="17"/>
      <c r="C136" s="17"/>
      <c r="D136" s="14"/>
      <c r="E136" s="14"/>
      <c r="F136" s="14"/>
      <c r="G136" s="14"/>
      <c r="H136" s="14"/>
      <c r="I136" s="5"/>
      <c r="J136" s="5"/>
      <c r="K136" s="5"/>
      <c r="L136" s="5"/>
    </row>
    <row r="137" spans="2:12" s="1" customFormat="1">
      <c r="B137" s="17"/>
      <c r="C137" s="17"/>
      <c r="D137" s="14"/>
      <c r="E137" s="14"/>
      <c r="F137" s="14"/>
      <c r="G137" s="14"/>
      <c r="H137" s="14"/>
      <c r="I137" s="5"/>
      <c r="J137" s="5"/>
      <c r="K137" s="5"/>
      <c r="L137" s="5"/>
    </row>
    <row r="138" spans="2:12" s="1" customFormat="1">
      <c r="B138" s="17"/>
      <c r="C138" s="17"/>
      <c r="D138" s="14"/>
      <c r="E138" s="14"/>
      <c r="F138" s="14"/>
      <c r="G138" s="14"/>
      <c r="H138" s="14"/>
      <c r="I138" s="5"/>
      <c r="J138" s="5"/>
      <c r="K138" s="5"/>
      <c r="L138" s="5"/>
    </row>
    <row r="139" spans="2:12" s="1" customFormat="1">
      <c r="B139" s="17"/>
      <c r="C139" s="17"/>
      <c r="D139" s="14"/>
      <c r="E139" s="14"/>
      <c r="F139" s="14"/>
      <c r="G139" s="14"/>
      <c r="H139" s="14"/>
      <c r="I139" s="5"/>
      <c r="J139" s="5"/>
      <c r="K139" s="5"/>
      <c r="L139" s="5"/>
    </row>
    <row r="140" spans="2:12" s="1" customFormat="1">
      <c r="B140" s="17"/>
      <c r="C140" s="17"/>
      <c r="D140" s="14"/>
      <c r="E140" s="14"/>
      <c r="F140" s="14"/>
      <c r="G140" s="14"/>
      <c r="H140" s="14"/>
      <c r="I140" s="5"/>
      <c r="J140" s="5"/>
      <c r="K140" s="5"/>
      <c r="L140" s="5"/>
    </row>
    <row r="141" spans="2:12" s="1" customFormat="1">
      <c r="B141" s="17"/>
      <c r="C141" s="17"/>
      <c r="D141" s="14"/>
      <c r="E141" s="14"/>
      <c r="F141" s="14"/>
      <c r="G141" s="14"/>
      <c r="H141" s="14"/>
      <c r="I141" s="5"/>
      <c r="J141" s="5"/>
      <c r="K141" s="5"/>
      <c r="L141" s="5"/>
    </row>
    <row r="142" spans="2:12" s="1" customFormat="1">
      <c r="B142" s="17"/>
      <c r="C142" s="17"/>
      <c r="D142" s="14"/>
      <c r="E142" s="14"/>
      <c r="F142" s="14"/>
      <c r="G142" s="14"/>
      <c r="H142" s="14"/>
      <c r="I142" s="5"/>
      <c r="J142" s="5"/>
      <c r="K142" s="5"/>
      <c r="L142" s="5"/>
    </row>
    <row r="143" spans="2:12" s="1" customFormat="1">
      <c r="B143" s="17"/>
      <c r="C143" s="17"/>
      <c r="D143" s="14"/>
      <c r="E143" s="14"/>
      <c r="F143" s="14"/>
      <c r="G143" s="14"/>
      <c r="H143" s="14"/>
      <c r="I143" s="5"/>
      <c r="J143" s="5"/>
      <c r="K143" s="5"/>
      <c r="L143" s="5"/>
    </row>
    <row r="144" spans="2:12" s="1" customFormat="1">
      <c r="B144" s="17"/>
      <c r="C144" s="17"/>
      <c r="D144" s="14"/>
      <c r="E144" s="14"/>
      <c r="F144" s="14"/>
      <c r="G144" s="14"/>
      <c r="H144" s="14"/>
      <c r="I144" s="5"/>
      <c r="J144" s="5"/>
      <c r="K144" s="5"/>
      <c r="L144" s="5"/>
    </row>
    <row r="145" spans="2:12" s="1" customFormat="1">
      <c r="B145" s="17"/>
      <c r="C145" s="17"/>
      <c r="D145" s="14"/>
      <c r="E145" s="14"/>
      <c r="F145" s="14"/>
      <c r="G145" s="14"/>
      <c r="H145" s="14"/>
      <c r="I145" s="5"/>
      <c r="J145" s="5"/>
      <c r="K145" s="5"/>
      <c r="L145" s="5"/>
    </row>
    <row r="146" spans="2:12" s="1" customFormat="1">
      <c r="B146" s="17"/>
      <c r="C146" s="17"/>
      <c r="D146" s="14"/>
      <c r="E146" s="14"/>
      <c r="F146" s="14"/>
      <c r="G146" s="14"/>
      <c r="H146" s="14"/>
      <c r="I146" s="5"/>
      <c r="J146" s="5"/>
      <c r="K146" s="5"/>
      <c r="L146" s="5"/>
    </row>
    <row r="147" spans="2:12" s="1" customFormat="1">
      <c r="B147" s="17"/>
      <c r="C147" s="17"/>
      <c r="D147" s="14"/>
      <c r="E147" s="14"/>
      <c r="F147" s="14"/>
      <c r="G147" s="14"/>
      <c r="H147" s="14"/>
      <c r="I147" s="5"/>
      <c r="J147" s="5"/>
      <c r="K147" s="5"/>
      <c r="L147" s="5"/>
    </row>
    <row r="148" spans="2:12" s="1" customFormat="1">
      <c r="B148" s="17"/>
      <c r="C148" s="17"/>
      <c r="D148" s="14"/>
      <c r="E148" s="14"/>
      <c r="F148" s="14"/>
      <c r="G148" s="14"/>
      <c r="H148" s="14"/>
      <c r="I148" s="5"/>
      <c r="J148" s="5"/>
      <c r="K148" s="5"/>
      <c r="L148" s="5"/>
    </row>
    <row r="149" spans="2:12" s="1" customFormat="1">
      <c r="B149" s="17"/>
      <c r="C149" s="17"/>
      <c r="D149" s="14"/>
      <c r="E149" s="14"/>
      <c r="F149" s="14"/>
      <c r="G149" s="14"/>
      <c r="H149" s="14"/>
      <c r="I149" s="5"/>
      <c r="J149" s="5"/>
      <c r="K149" s="5"/>
      <c r="L149" s="5"/>
    </row>
    <row r="150" spans="2:12" s="1" customFormat="1">
      <c r="B150" s="17"/>
      <c r="C150" s="17"/>
      <c r="D150" s="14"/>
      <c r="E150" s="14"/>
      <c r="F150" s="14"/>
      <c r="G150" s="14"/>
      <c r="H150" s="14"/>
      <c r="I150" s="5"/>
      <c r="J150" s="5"/>
      <c r="K150" s="5"/>
      <c r="L150" s="5"/>
    </row>
    <row r="151" spans="2:12" s="14" customFormat="1">
      <c r="B151" s="17"/>
      <c r="C151" s="17"/>
      <c r="I151" s="5"/>
      <c r="J151" s="5"/>
      <c r="K151" s="5"/>
      <c r="L151" s="5"/>
    </row>
    <row r="152" spans="2:12" s="14" customFormat="1">
      <c r="B152" s="17"/>
      <c r="C152" s="17"/>
      <c r="I152" s="5"/>
      <c r="J152" s="5"/>
      <c r="K152" s="5"/>
      <c r="L152" s="5"/>
    </row>
    <row r="153" spans="2:12" s="14" customFormat="1">
      <c r="B153" s="17"/>
      <c r="C153" s="17"/>
      <c r="I153" s="5"/>
      <c r="J153" s="5"/>
      <c r="K153" s="5"/>
      <c r="L153" s="5"/>
    </row>
    <row r="154" spans="2:12" s="14" customFormat="1">
      <c r="B154" s="17"/>
      <c r="C154" s="17"/>
      <c r="I154" s="5"/>
      <c r="J154" s="5"/>
      <c r="K154" s="5"/>
      <c r="L154" s="5"/>
    </row>
    <row r="155" spans="2:12" s="14" customFormat="1">
      <c r="B155" s="17"/>
      <c r="C155" s="17"/>
      <c r="I155" s="5"/>
      <c r="J155" s="5"/>
      <c r="K155" s="5"/>
      <c r="L155" s="5"/>
    </row>
    <row r="156" spans="2:12" s="14" customFormat="1">
      <c r="B156" s="17"/>
      <c r="C156" s="17"/>
      <c r="I156" s="5"/>
      <c r="J156" s="5"/>
      <c r="K156" s="5"/>
      <c r="L156" s="5"/>
    </row>
    <row r="157" spans="2:12" s="14" customFormat="1">
      <c r="B157" s="17"/>
      <c r="C157" s="17"/>
      <c r="I157" s="5"/>
      <c r="J157" s="5"/>
      <c r="K157" s="5"/>
      <c r="L157" s="5"/>
    </row>
    <row r="158" spans="2:12" s="14" customFormat="1">
      <c r="B158" s="17"/>
      <c r="C158" s="17"/>
      <c r="I158" s="5"/>
      <c r="J158" s="5"/>
      <c r="K158" s="5"/>
      <c r="L158" s="5"/>
    </row>
    <row r="159" spans="2:12" s="14" customFormat="1">
      <c r="B159" s="17"/>
      <c r="C159" s="17"/>
      <c r="I159" s="5"/>
      <c r="J159" s="5"/>
      <c r="K159" s="5"/>
      <c r="L159" s="5"/>
    </row>
    <row r="160" spans="2:12" s="14" customFormat="1">
      <c r="B160" s="17"/>
      <c r="C160" s="17"/>
      <c r="I160" s="5"/>
      <c r="J160" s="5"/>
      <c r="K160" s="5"/>
      <c r="L160" s="5"/>
    </row>
    <row r="161" spans="2:12" s="14" customFormat="1">
      <c r="B161" s="17"/>
      <c r="C161" s="17"/>
      <c r="I161" s="5"/>
      <c r="J161" s="5"/>
      <c r="K161" s="5"/>
      <c r="L161" s="5"/>
    </row>
    <row r="162" spans="2:12" s="14" customFormat="1">
      <c r="B162" s="17"/>
      <c r="C162" s="17"/>
      <c r="I162" s="5"/>
      <c r="J162" s="5"/>
      <c r="K162" s="5"/>
      <c r="L162" s="5"/>
    </row>
    <row r="163" spans="2:12" s="14" customFormat="1">
      <c r="B163" s="17"/>
      <c r="C163" s="17"/>
      <c r="I163" s="5"/>
      <c r="J163" s="5"/>
      <c r="K163" s="5"/>
      <c r="L163" s="5"/>
    </row>
    <row r="164" spans="2:12" s="1" customFormat="1">
      <c r="B164" s="17"/>
      <c r="C164" s="17"/>
      <c r="D164" s="14"/>
      <c r="E164" s="14"/>
      <c r="F164" s="14"/>
      <c r="G164" s="14"/>
      <c r="H164" s="14"/>
      <c r="I164" s="5"/>
      <c r="J164" s="5"/>
      <c r="K164" s="5"/>
      <c r="L164" s="5"/>
    </row>
    <row r="165" spans="2:12" s="1" customFormat="1">
      <c r="B165" s="17"/>
      <c r="C165" s="17"/>
      <c r="D165" s="14"/>
      <c r="E165" s="14"/>
      <c r="F165" s="14"/>
      <c r="G165" s="14"/>
      <c r="H165" s="14"/>
      <c r="I165" s="5"/>
      <c r="J165" s="5"/>
      <c r="K165" s="5"/>
      <c r="L165" s="5"/>
    </row>
    <row r="166" spans="2:12" s="1" customFormat="1">
      <c r="B166" s="17"/>
      <c r="C166" s="17"/>
      <c r="D166" s="14"/>
      <c r="E166" s="14"/>
      <c r="F166" s="14"/>
      <c r="G166" s="14"/>
      <c r="H166" s="14"/>
      <c r="I166" s="5"/>
      <c r="J166" s="5"/>
      <c r="K166" s="5"/>
      <c r="L166" s="5"/>
    </row>
    <row r="167" spans="2:12" s="1" customFormat="1">
      <c r="B167" s="17"/>
      <c r="C167" s="17"/>
      <c r="D167" s="14"/>
      <c r="E167" s="14"/>
      <c r="F167" s="14"/>
      <c r="G167" s="14"/>
      <c r="H167" s="14"/>
      <c r="I167" s="5"/>
      <c r="J167" s="5"/>
      <c r="K167" s="5"/>
      <c r="L167" s="5"/>
    </row>
    <row r="168" spans="2:12" s="1" customFormat="1">
      <c r="B168" s="17"/>
      <c r="C168" s="17"/>
      <c r="D168" s="14"/>
      <c r="E168" s="14"/>
      <c r="F168" s="14"/>
      <c r="G168" s="14"/>
      <c r="H168" s="14"/>
      <c r="I168" s="5"/>
      <c r="J168" s="5"/>
      <c r="K168" s="5"/>
      <c r="L168" s="5"/>
    </row>
    <row r="169" spans="2:12" s="1" customFormat="1">
      <c r="B169" s="17"/>
      <c r="C169" s="17"/>
      <c r="D169" s="14"/>
      <c r="E169" s="14"/>
      <c r="F169" s="14"/>
      <c r="G169" s="14"/>
      <c r="H169" s="14"/>
      <c r="I169" s="5"/>
      <c r="J169" s="5"/>
      <c r="K169" s="5"/>
      <c r="L169" s="5"/>
    </row>
    <row r="170" spans="2:12" s="1" customFormat="1">
      <c r="B170" s="17"/>
      <c r="C170" s="17"/>
      <c r="D170" s="14"/>
      <c r="E170" s="14"/>
      <c r="F170" s="14"/>
      <c r="G170" s="14"/>
      <c r="H170" s="14"/>
      <c r="I170" s="5"/>
      <c r="J170" s="5"/>
      <c r="K170" s="5"/>
      <c r="L170" s="5"/>
    </row>
    <row r="171" spans="2:12" s="1" customFormat="1">
      <c r="B171" s="17"/>
      <c r="C171" s="17"/>
      <c r="D171" s="14"/>
      <c r="E171" s="14"/>
      <c r="F171" s="14"/>
      <c r="G171" s="14"/>
      <c r="H171" s="14"/>
      <c r="I171" s="5"/>
      <c r="J171" s="5"/>
      <c r="K171" s="5"/>
      <c r="L171" s="5"/>
    </row>
    <row r="172" spans="2:12" s="1" customFormat="1">
      <c r="B172" s="17"/>
      <c r="C172" s="17"/>
      <c r="D172" s="14"/>
      <c r="E172" s="14"/>
      <c r="F172" s="14"/>
      <c r="G172" s="14"/>
      <c r="H172" s="14"/>
      <c r="I172" s="5"/>
      <c r="J172" s="5"/>
      <c r="K172" s="5"/>
      <c r="L172" s="5"/>
    </row>
    <row r="173" spans="2:12" s="1" customFormat="1">
      <c r="B173" s="17"/>
      <c r="C173" s="17"/>
      <c r="D173" s="14"/>
      <c r="E173" s="14"/>
      <c r="F173" s="14"/>
      <c r="G173" s="14"/>
      <c r="H173" s="14"/>
      <c r="I173" s="5"/>
      <c r="J173" s="5"/>
      <c r="K173" s="5"/>
      <c r="L173" s="5"/>
    </row>
    <row r="174" spans="2:12" s="1" customFormat="1">
      <c r="B174" s="17"/>
      <c r="C174" s="17"/>
      <c r="D174" s="14"/>
      <c r="E174" s="14"/>
      <c r="F174" s="14"/>
      <c r="G174" s="14"/>
      <c r="H174" s="14"/>
      <c r="I174" s="5"/>
      <c r="J174" s="5"/>
      <c r="K174" s="5"/>
      <c r="L174" s="5"/>
    </row>
    <row r="175" spans="2:12" s="1" customFormat="1">
      <c r="B175" s="17"/>
      <c r="C175" s="17"/>
      <c r="D175" s="14"/>
      <c r="E175" s="14"/>
      <c r="F175" s="14"/>
      <c r="G175" s="14"/>
      <c r="H175" s="14"/>
      <c r="I175" s="5"/>
      <c r="J175" s="5"/>
      <c r="K175" s="5"/>
      <c r="L175" s="5"/>
    </row>
    <row r="189" spans="2:12" s="1" customFormat="1" ht="21">
      <c r="B189" s="13"/>
      <c r="C189" s="13"/>
      <c r="D189" s="14"/>
      <c r="E189" s="14"/>
      <c r="F189" s="14"/>
      <c r="G189" s="14"/>
      <c r="H189" s="14"/>
      <c r="I189" s="5"/>
      <c r="J189" s="5"/>
      <c r="K189" s="5"/>
      <c r="L189" s="5"/>
    </row>
    <row r="190" spans="2:12" s="1" customFormat="1">
      <c r="B190" s="15"/>
      <c r="C190" s="15"/>
      <c r="D190" s="16"/>
      <c r="E190" s="16"/>
      <c r="F190" s="16"/>
      <c r="G190" s="16"/>
      <c r="H190" s="16"/>
      <c r="I190" s="5"/>
      <c r="J190" s="5"/>
      <c r="K190" s="5"/>
      <c r="L190" s="6"/>
    </row>
    <row r="191" spans="2:12" s="1" customFormat="1">
      <c r="B191" s="17"/>
      <c r="C191" s="17"/>
      <c r="D191" s="14"/>
      <c r="E191" s="14"/>
      <c r="F191" s="14"/>
      <c r="G191" s="14"/>
      <c r="H191" s="14"/>
      <c r="I191" s="5"/>
      <c r="J191" s="5"/>
      <c r="K191" s="5"/>
      <c r="L191" s="5"/>
    </row>
    <row r="192" spans="2:12" s="1" customFormat="1">
      <c r="B192" s="17"/>
      <c r="C192" s="17"/>
      <c r="D192" s="14"/>
      <c r="E192" s="14"/>
      <c r="F192" s="14"/>
      <c r="G192" s="14"/>
      <c r="H192" s="14"/>
      <c r="I192" s="5"/>
      <c r="J192" s="5"/>
      <c r="K192" s="5"/>
      <c r="L192" s="5"/>
    </row>
    <row r="193" spans="2:12" s="1" customFormat="1">
      <c r="B193" s="17"/>
      <c r="C193" s="17"/>
      <c r="D193" s="14"/>
      <c r="E193" s="14"/>
      <c r="F193" s="14"/>
      <c r="G193" s="14"/>
      <c r="H193" s="14"/>
      <c r="I193" s="5"/>
      <c r="J193" s="5"/>
      <c r="K193" s="5"/>
      <c r="L193" s="5"/>
    </row>
    <row r="194" spans="2:12" s="1" customFormat="1">
      <c r="B194" s="17"/>
      <c r="C194" s="17"/>
      <c r="D194" s="14"/>
      <c r="E194" s="14"/>
      <c r="F194" s="14"/>
      <c r="G194" s="14"/>
      <c r="H194" s="14"/>
      <c r="I194" s="5"/>
      <c r="J194" s="5"/>
      <c r="K194" s="5"/>
      <c r="L194" s="5"/>
    </row>
    <row r="195" spans="2:12" s="1" customFormat="1">
      <c r="B195" s="17"/>
      <c r="C195" s="17"/>
      <c r="D195" s="14"/>
      <c r="E195" s="14"/>
      <c r="F195" s="14"/>
      <c r="G195" s="14"/>
      <c r="H195" s="14"/>
      <c r="I195" s="5"/>
      <c r="J195" s="5"/>
      <c r="K195" s="5"/>
      <c r="L195" s="5"/>
    </row>
    <row r="196" spans="2:12" s="1" customFormat="1">
      <c r="B196" s="17"/>
      <c r="C196" s="17"/>
      <c r="D196" s="14"/>
      <c r="E196" s="14"/>
      <c r="F196" s="14"/>
      <c r="G196" s="14"/>
      <c r="H196" s="14"/>
      <c r="I196" s="5"/>
      <c r="J196" s="5"/>
      <c r="K196" s="5"/>
      <c r="L196" s="5"/>
    </row>
    <row r="197" spans="2:12" s="1" customFormat="1">
      <c r="B197" s="17"/>
      <c r="C197" s="17"/>
      <c r="D197" s="14"/>
      <c r="E197" s="14"/>
      <c r="F197" s="14"/>
      <c r="G197" s="14"/>
      <c r="H197" s="14"/>
      <c r="I197" s="5"/>
      <c r="J197" s="5"/>
      <c r="K197" s="5"/>
      <c r="L197" s="5"/>
    </row>
    <row r="198" spans="2:12" s="14" customFormat="1">
      <c r="B198" s="17"/>
      <c r="C198" s="17"/>
      <c r="I198" s="5"/>
      <c r="J198" s="5"/>
      <c r="K198" s="5"/>
      <c r="L198" s="5"/>
    </row>
    <row r="199" spans="2:12" s="14" customFormat="1">
      <c r="B199" s="17"/>
      <c r="C199" s="17"/>
      <c r="I199" s="5"/>
      <c r="J199" s="5"/>
      <c r="K199" s="5"/>
      <c r="L199" s="5"/>
    </row>
    <row r="200" spans="2:12" s="14" customFormat="1">
      <c r="B200" s="17"/>
      <c r="C200" s="17"/>
      <c r="I200" s="5"/>
      <c r="J200" s="5"/>
      <c r="K200" s="5"/>
      <c r="L200" s="5"/>
    </row>
    <row r="201" spans="2:12" s="14" customFormat="1">
      <c r="B201" s="17"/>
      <c r="C201" s="17"/>
      <c r="I201" s="5"/>
      <c r="J201" s="5"/>
      <c r="K201" s="5"/>
      <c r="L201" s="5"/>
    </row>
    <row r="202" spans="2:12" s="14" customFormat="1">
      <c r="B202" s="17"/>
      <c r="C202" s="17"/>
      <c r="I202" s="5"/>
      <c r="J202" s="5"/>
      <c r="K202" s="5"/>
      <c r="L202" s="5"/>
    </row>
    <row r="203" spans="2:12" s="14" customFormat="1">
      <c r="B203" s="17"/>
      <c r="C203" s="17"/>
      <c r="I203" s="5"/>
      <c r="J203" s="5"/>
      <c r="K203" s="5"/>
      <c r="L203" s="5"/>
    </row>
    <row r="204" spans="2:12" s="14" customFormat="1">
      <c r="B204" s="17"/>
      <c r="C204" s="17"/>
      <c r="I204" s="5"/>
      <c r="J204" s="5"/>
      <c r="K204" s="5"/>
      <c r="L204" s="5"/>
    </row>
    <row r="205" spans="2:12" s="14" customFormat="1">
      <c r="B205" s="17"/>
      <c r="C205" s="17"/>
      <c r="I205" s="5"/>
      <c r="J205" s="5"/>
      <c r="K205" s="5"/>
      <c r="L205" s="5"/>
    </row>
    <row r="206" spans="2:12" s="14" customFormat="1">
      <c r="I206" s="5"/>
      <c r="J206" s="5"/>
      <c r="K206" s="5"/>
      <c r="L206" s="5"/>
    </row>
    <row r="207" spans="2:12" s="14" customFormat="1">
      <c r="I207" s="5"/>
      <c r="J207" s="5"/>
      <c r="K207" s="5"/>
      <c r="L207" s="5"/>
    </row>
    <row r="208" spans="2:12" s="14" customFormat="1">
      <c r="I208" s="5"/>
      <c r="J208" s="5"/>
      <c r="K208" s="5"/>
      <c r="L208" s="5"/>
    </row>
    <row r="209" spans="9:12" s="14" customFormat="1">
      <c r="I209" s="5"/>
      <c r="J209" s="5"/>
      <c r="K209" s="5"/>
      <c r="L209" s="5"/>
    </row>
    <row r="210" spans="9:12" s="14" customFormat="1">
      <c r="I210" s="5"/>
      <c r="J210" s="5"/>
      <c r="K210" s="5"/>
      <c r="L210" s="5"/>
    </row>
    <row r="211" spans="9:12" s="14" customFormat="1">
      <c r="I211" s="5"/>
      <c r="J211" s="5"/>
      <c r="K211" s="5"/>
      <c r="L211" s="5"/>
    </row>
    <row r="212" spans="9:12" s="14" customFormat="1">
      <c r="I212" s="5"/>
      <c r="J212" s="5"/>
      <c r="K212" s="5"/>
      <c r="L212" s="5"/>
    </row>
    <row r="213" spans="9:12" s="14" customFormat="1">
      <c r="I213" s="5"/>
      <c r="J213" s="5"/>
      <c r="K213" s="5"/>
      <c r="L213" s="5"/>
    </row>
    <row r="214" spans="9:12" s="14" customFormat="1">
      <c r="I214" s="5"/>
      <c r="J214" s="5"/>
      <c r="K214" s="5"/>
      <c r="L214" s="5"/>
    </row>
    <row r="215" spans="9:12" s="14" customFormat="1">
      <c r="I215" s="5"/>
      <c r="J215" s="5"/>
      <c r="K215" s="5"/>
      <c r="L215" s="5"/>
    </row>
    <row r="216" spans="9:12" s="14" customFormat="1">
      <c r="I216" s="5"/>
      <c r="J216" s="5"/>
      <c r="K216" s="5"/>
      <c r="L216" s="5"/>
    </row>
    <row r="217" spans="9:12" s="14" customFormat="1">
      <c r="I217" s="5"/>
      <c r="J217" s="5"/>
      <c r="K217" s="5"/>
      <c r="L217" s="5"/>
    </row>
    <row r="218" spans="9:12" s="14" customFormat="1">
      <c r="I218" s="5"/>
      <c r="J218" s="5"/>
      <c r="K218" s="5"/>
      <c r="L218" s="5"/>
    </row>
    <row r="219" spans="9:12" s="14" customFormat="1">
      <c r="I219" s="5"/>
      <c r="J219" s="5"/>
      <c r="K219" s="5"/>
      <c r="L219" s="5"/>
    </row>
    <row r="220" spans="9:12" s="14" customFormat="1">
      <c r="I220" s="5"/>
      <c r="J220" s="5"/>
      <c r="K220" s="5"/>
      <c r="L220" s="5"/>
    </row>
    <row r="221" spans="9:12" s="14" customFormat="1">
      <c r="I221" s="5"/>
      <c r="J221" s="5"/>
      <c r="K221" s="5"/>
      <c r="L221" s="5"/>
    </row>
    <row r="222" spans="9:12" s="14" customFormat="1">
      <c r="I222" s="5"/>
      <c r="J222" s="5"/>
      <c r="K222" s="5"/>
      <c r="L222" s="5"/>
    </row>
    <row r="223" spans="9:12" s="14" customFormat="1">
      <c r="I223" s="5"/>
      <c r="J223" s="5"/>
      <c r="K223" s="5"/>
      <c r="L223" s="5"/>
    </row>
    <row r="224" spans="9:12" s="14" customFormat="1">
      <c r="I224" s="5"/>
      <c r="J224" s="5"/>
      <c r="K224" s="5"/>
      <c r="L224" s="5"/>
    </row>
    <row r="225" spans="2:12" s="14" customFormat="1">
      <c r="I225" s="5"/>
      <c r="J225" s="5"/>
      <c r="K225" s="5"/>
      <c r="L225" s="5"/>
    </row>
    <row r="226" spans="2:12" s="14" customFormat="1">
      <c r="I226" s="5"/>
      <c r="J226" s="5"/>
      <c r="K226" s="5"/>
      <c r="L226" s="5"/>
    </row>
    <row r="227" spans="2:12" s="14" customFormat="1">
      <c r="I227" s="5"/>
      <c r="J227" s="5"/>
      <c r="K227" s="5"/>
      <c r="L227" s="5"/>
    </row>
    <row r="228" spans="2:12" s="14" customFormat="1">
      <c r="I228" s="5"/>
      <c r="J228" s="5"/>
      <c r="K228" s="5"/>
      <c r="L228" s="5"/>
    </row>
    <row r="229" spans="2:12" s="14" customFormat="1">
      <c r="I229" s="5"/>
      <c r="J229" s="5"/>
      <c r="K229" s="5"/>
      <c r="L229" s="5"/>
    </row>
    <row r="230" spans="2:12" s="14" customFormat="1">
      <c r="I230" s="5"/>
      <c r="J230" s="5"/>
      <c r="K230" s="5"/>
      <c r="L230" s="5"/>
    </row>
    <row r="231" spans="2:12" s="14" customFormat="1">
      <c r="I231" s="5"/>
      <c r="J231" s="5"/>
      <c r="K231" s="5"/>
      <c r="L231" s="5"/>
    </row>
    <row r="232" spans="2:12" s="14" customFormat="1">
      <c r="I232" s="5"/>
      <c r="J232" s="5"/>
      <c r="K232" s="5"/>
      <c r="L232" s="5"/>
    </row>
    <row r="233" spans="2:12" s="14" customFormat="1">
      <c r="I233" s="5"/>
      <c r="J233" s="5"/>
      <c r="K233" s="5"/>
      <c r="L233" s="5"/>
    </row>
    <row r="234" spans="2:12" s="14" customFormat="1">
      <c r="I234" s="5"/>
      <c r="J234" s="5"/>
      <c r="K234" s="5"/>
      <c r="L234" s="5"/>
    </row>
    <row r="235" spans="2:12" s="14" customFormat="1">
      <c r="I235" s="5"/>
      <c r="J235" s="5"/>
      <c r="K235" s="5"/>
      <c r="L235" s="5"/>
    </row>
    <row r="236" spans="2:12" s="2" customFormat="1">
      <c r="B236" s="18"/>
      <c r="C236" s="18"/>
      <c r="D236" s="19"/>
      <c r="E236" s="19"/>
      <c r="F236" s="19"/>
      <c r="G236" s="19"/>
      <c r="H236" s="19"/>
      <c r="I236" s="5"/>
      <c r="J236" s="5"/>
      <c r="K236" s="5"/>
      <c r="L236" s="7"/>
    </row>
    <row r="237" spans="2:12" s="2" customFormat="1">
      <c r="B237" s="18"/>
      <c r="C237" s="18"/>
      <c r="D237" s="19"/>
      <c r="E237" s="19"/>
      <c r="F237" s="19"/>
      <c r="G237" s="19"/>
      <c r="H237" s="19"/>
      <c r="I237" s="5"/>
      <c r="J237" s="5"/>
      <c r="K237" s="5"/>
      <c r="L237" s="7"/>
    </row>
    <row r="238" spans="2:12" s="2" customFormat="1">
      <c r="B238" s="18"/>
      <c r="C238" s="18"/>
      <c r="D238" s="19"/>
      <c r="E238" s="19"/>
      <c r="F238" s="19"/>
      <c r="G238" s="19"/>
      <c r="H238" s="19"/>
      <c r="I238" s="5"/>
      <c r="J238" s="5"/>
      <c r="K238" s="5"/>
      <c r="L238" s="7"/>
    </row>
    <row r="239" spans="2:12" s="2" customFormat="1">
      <c r="B239" s="18"/>
      <c r="C239" s="18"/>
      <c r="D239" s="19"/>
      <c r="E239" s="19"/>
      <c r="F239" s="19"/>
      <c r="G239" s="19"/>
      <c r="H239" s="19"/>
      <c r="I239" s="5"/>
      <c r="J239" s="5"/>
      <c r="K239" s="5"/>
      <c r="L239" s="7"/>
    </row>
    <row r="240" spans="2:12" s="2" customFormat="1">
      <c r="B240" s="18"/>
      <c r="C240" s="18"/>
      <c r="D240" s="19"/>
      <c r="E240" s="19"/>
      <c r="F240" s="19"/>
      <c r="G240" s="19"/>
      <c r="H240" s="19"/>
      <c r="I240" s="5"/>
      <c r="J240" s="5"/>
      <c r="K240" s="5"/>
      <c r="L240" s="7"/>
    </row>
    <row r="241" spans="2:12" s="2" customFormat="1">
      <c r="B241" s="18"/>
      <c r="C241" s="18"/>
      <c r="D241" s="19"/>
      <c r="E241" s="19"/>
      <c r="F241" s="19"/>
      <c r="G241" s="19"/>
      <c r="H241" s="19"/>
      <c r="I241" s="5"/>
      <c r="J241" s="5"/>
      <c r="K241" s="5"/>
      <c r="L241" s="7"/>
    </row>
    <row r="242" spans="2:12" s="2" customFormat="1">
      <c r="B242" s="18"/>
      <c r="C242" s="18"/>
      <c r="D242" s="19"/>
      <c r="E242" s="19"/>
      <c r="F242" s="19"/>
      <c r="G242" s="19"/>
      <c r="H242" s="19"/>
      <c r="I242" s="5"/>
      <c r="J242" s="5"/>
      <c r="K242" s="5"/>
      <c r="L242" s="7"/>
    </row>
    <row r="243" spans="2:12" s="2" customFormat="1">
      <c r="B243" s="18"/>
      <c r="C243" s="18"/>
      <c r="D243" s="19"/>
      <c r="E243" s="19"/>
      <c r="F243" s="19"/>
      <c r="G243" s="19"/>
      <c r="H243" s="19"/>
      <c r="I243" s="5"/>
      <c r="J243" s="5"/>
      <c r="K243" s="5"/>
      <c r="L243" s="7"/>
    </row>
    <row r="244" spans="2:12" s="2" customFormat="1">
      <c r="B244" s="18"/>
      <c r="C244" s="18"/>
      <c r="D244" s="19"/>
      <c r="E244" s="19"/>
      <c r="F244" s="19"/>
      <c r="G244" s="19"/>
      <c r="H244" s="19"/>
      <c r="I244" s="5"/>
      <c r="J244" s="5"/>
      <c r="K244" s="5"/>
      <c r="L244" s="7"/>
    </row>
    <row r="245" spans="2:12" s="2" customFormat="1">
      <c r="B245" s="18"/>
      <c r="C245" s="18"/>
      <c r="D245" s="19"/>
      <c r="E245" s="19"/>
      <c r="F245" s="19"/>
      <c r="G245" s="19"/>
      <c r="H245" s="19"/>
      <c r="I245" s="5"/>
      <c r="J245" s="5"/>
      <c r="K245" s="5"/>
      <c r="L245" s="7"/>
    </row>
    <row r="246" spans="2:12" s="2" customFormat="1">
      <c r="B246" s="18"/>
      <c r="C246" s="18"/>
      <c r="D246" s="19"/>
      <c r="E246" s="19"/>
      <c r="F246" s="19"/>
      <c r="G246" s="19"/>
      <c r="H246" s="19"/>
      <c r="I246" s="5"/>
      <c r="J246" s="5"/>
      <c r="K246" s="5"/>
      <c r="L246" s="7"/>
    </row>
    <row r="247" spans="2:12" s="2" customFormat="1">
      <c r="B247" s="18"/>
      <c r="C247" s="18"/>
      <c r="D247" s="19"/>
      <c r="E247" s="19"/>
      <c r="F247" s="19"/>
      <c r="G247" s="19"/>
      <c r="H247" s="19"/>
      <c r="I247" s="5"/>
      <c r="J247" s="5"/>
      <c r="K247" s="5"/>
      <c r="L247" s="7"/>
    </row>
    <row r="248" spans="2:12" s="2" customFormat="1">
      <c r="B248" s="18"/>
      <c r="C248" s="18"/>
      <c r="D248" s="19"/>
      <c r="E248" s="19"/>
      <c r="F248" s="19"/>
      <c r="G248" s="19"/>
      <c r="H248" s="19"/>
      <c r="I248" s="5"/>
      <c r="J248" s="5"/>
      <c r="K248" s="5"/>
      <c r="L248" s="7"/>
    </row>
    <row r="249" spans="2:12" s="2" customFormat="1">
      <c r="B249" s="18"/>
      <c r="C249" s="18"/>
      <c r="D249" s="19"/>
      <c r="E249" s="19"/>
      <c r="F249" s="19"/>
      <c r="G249" s="19"/>
      <c r="H249" s="19"/>
      <c r="I249" s="5"/>
      <c r="J249" s="5"/>
      <c r="K249" s="5"/>
      <c r="L249" s="7"/>
    </row>
    <row r="250" spans="2:12" s="2" customFormat="1">
      <c r="B250" s="18"/>
      <c r="C250" s="18"/>
      <c r="D250" s="19"/>
      <c r="E250" s="19"/>
      <c r="F250" s="19"/>
      <c r="G250" s="19"/>
      <c r="H250" s="19"/>
      <c r="I250" s="5"/>
      <c r="J250" s="5"/>
      <c r="K250" s="5"/>
      <c r="L250" s="7"/>
    </row>
    <row r="251" spans="2:12" s="2" customFormat="1">
      <c r="B251" s="18"/>
      <c r="C251" s="18"/>
      <c r="D251" s="19"/>
      <c r="E251" s="19"/>
      <c r="F251" s="19"/>
      <c r="G251" s="19"/>
      <c r="H251" s="19"/>
      <c r="I251" s="5"/>
      <c r="J251" s="5"/>
      <c r="K251" s="5"/>
      <c r="L251" s="7"/>
    </row>
    <row r="252" spans="2:12" s="2" customFormat="1">
      <c r="B252" s="18"/>
      <c r="C252" s="18"/>
      <c r="D252" s="19"/>
      <c r="E252" s="19"/>
      <c r="F252" s="19"/>
      <c r="G252" s="19"/>
      <c r="H252" s="19"/>
      <c r="I252" s="5"/>
      <c r="J252" s="5"/>
      <c r="K252" s="5"/>
      <c r="L252" s="7"/>
    </row>
    <row r="253" spans="2:12" s="2" customFormat="1">
      <c r="B253" s="18"/>
      <c r="C253" s="18"/>
      <c r="D253" s="19"/>
      <c r="E253" s="19"/>
      <c r="F253" s="19"/>
      <c r="G253" s="19"/>
      <c r="H253" s="19"/>
      <c r="I253" s="5"/>
      <c r="J253" s="5"/>
      <c r="K253" s="5"/>
      <c r="L253" s="7"/>
    </row>
    <row r="254" spans="2:12" s="2" customFormat="1">
      <c r="B254" s="18"/>
      <c r="C254" s="18"/>
      <c r="D254" s="19"/>
      <c r="E254" s="19"/>
      <c r="F254" s="19"/>
      <c r="G254" s="19"/>
      <c r="H254" s="19"/>
      <c r="I254" s="5"/>
      <c r="J254" s="5"/>
      <c r="K254" s="5"/>
      <c r="L254" s="7"/>
    </row>
    <row r="255" spans="2:12" s="2" customFormat="1">
      <c r="B255" s="18"/>
      <c r="C255" s="18"/>
      <c r="D255" s="19"/>
      <c r="E255" s="19"/>
      <c r="F255" s="19"/>
      <c r="G255" s="19"/>
      <c r="H255" s="19"/>
      <c r="I255" s="5"/>
      <c r="J255" s="5"/>
      <c r="K255" s="5"/>
      <c r="L255" s="7"/>
    </row>
    <row r="256" spans="2:12" s="2" customFormat="1">
      <c r="B256" s="18"/>
      <c r="C256" s="18"/>
      <c r="D256" s="19"/>
      <c r="E256" s="19"/>
      <c r="F256" s="19"/>
      <c r="G256" s="19"/>
      <c r="H256" s="19"/>
      <c r="I256" s="5"/>
      <c r="J256" s="5"/>
      <c r="K256" s="5"/>
      <c r="L256" s="7"/>
    </row>
    <row r="257" spans="2:12" s="2" customFormat="1">
      <c r="B257" s="18"/>
      <c r="C257" s="18"/>
      <c r="D257" s="19"/>
      <c r="E257" s="19"/>
      <c r="F257" s="19"/>
      <c r="G257" s="19"/>
      <c r="H257" s="19"/>
      <c r="I257" s="5"/>
      <c r="J257" s="5"/>
      <c r="K257" s="5"/>
      <c r="L257" s="7"/>
    </row>
    <row r="258" spans="2:12" s="2" customFormat="1">
      <c r="B258" s="18"/>
      <c r="C258" s="18"/>
      <c r="D258" s="19"/>
      <c r="E258" s="19"/>
      <c r="F258" s="19"/>
      <c r="G258" s="19"/>
      <c r="H258" s="19"/>
      <c r="I258" s="5"/>
      <c r="J258" s="5"/>
      <c r="K258" s="5"/>
      <c r="L258" s="7"/>
    </row>
    <row r="259" spans="2:12" s="2" customFormat="1">
      <c r="B259" s="18"/>
      <c r="C259" s="18"/>
      <c r="D259" s="19"/>
      <c r="E259" s="19"/>
      <c r="F259" s="19"/>
      <c r="G259" s="19"/>
      <c r="H259" s="19"/>
      <c r="I259" s="5"/>
      <c r="J259" s="5"/>
      <c r="K259" s="5"/>
      <c r="L259" s="7"/>
    </row>
    <row r="260" spans="2:12" s="2" customFormat="1">
      <c r="B260" s="18"/>
      <c r="C260" s="18"/>
      <c r="D260" s="19"/>
      <c r="E260" s="19"/>
      <c r="F260" s="19"/>
      <c r="G260" s="19"/>
      <c r="H260" s="19"/>
      <c r="I260" s="5"/>
      <c r="J260" s="5"/>
      <c r="K260" s="5"/>
      <c r="L260" s="7"/>
    </row>
    <row r="261" spans="2:12" s="2" customFormat="1">
      <c r="B261" s="18"/>
      <c r="C261" s="18"/>
      <c r="D261" s="19"/>
      <c r="E261" s="19"/>
      <c r="F261" s="19"/>
      <c r="G261" s="19"/>
      <c r="H261" s="19"/>
      <c r="I261" s="5"/>
      <c r="J261" s="5"/>
      <c r="K261" s="5"/>
      <c r="L261" s="7"/>
    </row>
    <row r="262" spans="2:12" s="2" customFormat="1">
      <c r="B262" s="18"/>
      <c r="C262" s="18"/>
      <c r="D262" s="19"/>
      <c r="E262" s="19"/>
      <c r="F262" s="19"/>
      <c r="G262" s="19"/>
      <c r="H262" s="19"/>
      <c r="I262" s="5"/>
      <c r="J262" s="5"/>
      <c r="K262" s="5"/>
      <c r="L262" s="7"/>
    </row>
    <row r="263" spans="2:12" s="2" customFormat="1">
      <c r="B263" s="18"/>
      <c r="C263" s="18"/>
      <c r="D263" s="19"/>
      <c r="E263" s="19"/>
      <c r="F263" s="19"/>
      <c r="G263" s="19"/>
      <c r="H263" s="19"/>
      <c r="I263" s="5"/>
      <c r="J263" s="5"/>
      <c r="K263" s="5"/>
      <c r="L263" s="7"/>
    </row>
    <row r="264" spans="2:12" s="2" customFormat="1">
      <c r="B264" s="18"/>
      <c r="C264" s="18"/>
      <c r="D264" s="19"/>
      <c r="E264" s="19"/>
      <c r="F264" s="19"/>
      <c r="G264" s="19"/>
      <c r="H264" s="19"/>
      <c r="I264" s="5"/>
      <c r="J264" s="5"/>
      <c r="K264" s="5"/>
      <c r="L264" s="7"/>
    </row>
    <row r="265" spans="2:12" s="2" customFormat="1">
      <c r="B265" s="18"/>
      <c r="C265" s="18"/>
      <c r="D265" s="19"/>
      <c r="E265" s="19"/>
      <c r="F265" s="19"/>
      <c r="G265" s="19"/>
      <c r="H265" s="19"/>
      <c r="I265" s="5"/>
      <c r="J265" s="5"/>
      <c r="K265" s="5"/>
      <c r="L265" s="7"/>
    </row>
    <row r="266" spans="2:12" s="2" customFormat="1">
      <c r="B266" s="18"/>
      <c r="C266" s="18"/>
      <c r="D266" s="19"/>
      <c r="E266" s="19"/>
      <c r="F266" s="19"/>
      <c r="G266" s="19"/>
      <c r="H266" s="19"/>
      <c r="I266" s="5"/>
      <c r="J266" s="5"/>
      <c r="K266" s="5"/>
      <c r="L266" s="7"/>
    </row>
    <row r="267" spans="2:12" s="2" customFormat="1">
      <c r="B267" s="18"/>
      <c r="C267" s="18"/>
      <c r="D267" s="19"/>
      <c r="E267" s="19"/>
      <c r="F267" s="19"/>
      <c r="G267" s="19"/>
      <c r="H267" s="19"/>
      <c r="I267" s="5"/>
      <c r="J267" s="5"/>
      <c r="K267" s="5"/>
      <c r="L267" s="7"/>
    </row>
    <row r="268" spans="2:12" s="2" customFormat="1">
      <c r="B268" s="18"/>
      <c r="C268" s="18"/>
      <c r="D268" s="19"/>
      <c r="E268" s="19"/>
      <c r="F268" s="19"/>
      <c r="G268" s="19"/>
      <c r="H268" s="19"/>
      <c r="I268" s="5"/>
      <c r="J268" s="5"/>
      <c r="K268" s="5"/>
      <c r="L268" s="7"/>
    </row>
    <row r="269" spans="2:12" ht="21">
      <c r="B269" s="9"/>
      <c r="C269" s="9"/>
    </row>
    <row r="270" spans="2:12">
      <c r="B270" s="10"/>
      <c r="C270" s="10"/>
      <c r="E270" s="11"/>
      <c r="F270" s="11"/>
      <c r="G270" s="11"/>
      <c r="H270" s="11"/>
      <c r="L270" s="4"/>
    </row>
    <row r="271" spans="2:12">
      <c r="D271" s="11"/>
    </row>
    <row r="329" spans="2:12" ht="21">
      <c r="B329" s="9"/>
      <c r="C329" s="9"/>
    </row>
    <row r="330" spans="2:12">
      <c r="B330" s="10"/>
      <c r="C330" s="10"/>
      <c r="E330" s="11"/>
      <c r="F330" s="11"/>
      <c r="G330" s="11"/>
      <c r="H330" s="11"/>
      <c r="L330" s="4"/>
    </row>
    <row r="331" spans="2:12">
      <c r="D331" s="11"/>
    </row>
    <row r="389" spans="2:12" ht="21">
      <c r="B389" s="9"/>
      <c r="C389" s="9"/>
    </row>
    <row r="390" spans="2:12">
      <c r="B390" s="10"/>
      <c r="C390" s="10"/>
      <c r="E390" s="11"/>
      <c r="F390" s="11"/>
      <c r="G390" s="11"/>
      <c r="H390" s="11"/>
      <c r="L390" s="4"/>
    </row>
    <row r="391" spans="2:12">
      <c r="D391" s="11"/>
    </row>
    <row r="424" spans="2:12" ht="21">
      <c r="B424" s="9"/>
      <c r="C424" s="9"/>
    </row>
    <row r="425" spans="2:12">
      <c r="B425" s="10"/>
      <c r="C425" s="10"/>
      <c r="E425" s="11"/>
      <c r="F425" s="11"/>
      <c r="G425" s="11"/>
      <c r="H425" s="11"/>
      <c r="L425" s="4"/>
    </row>
    <row r="426" spans="2:12">
      <c r="D426" s="11"/>
    </row>
    <row r="476" spans="2:12" ht="21">
      <c r="B476" s="9"/>
      <c r="C476" s="9"/>
    </row>
    <row r="477" spans="2:12">
      <c r="B477" s="10"/>
      <c r="C477" s="10"/>
      <c r="E477" s="11"/>
      <c r="F477" s="11"/>
      <c r="G477" s="11"/>
      <c r="H477" s="11"/>
      <c r="L477" s="4"/>
    </row>
    <row r="478" spans="2:12">
      <c r="D478" s="11"/>
    </row>
    <row r="511" spans="2:12" ht="21">
      <c r="B511" s="9"/>
      <c r="C511" s="9"/>
    </row>
    <row r="512" spans="2:12">
      <c r="B512" s="10"/>
      <c r="C512" s="10"/>
      <c r="E512" s="11"/>
      <c r="F512" s="11"/>
      <c r="G512" s="11"/>
      <c r="H512" s="11"/>
      <c r="L512" s="4"/>
    </row>
    <row r="513" spans="4:4">
      <c r="D513" s="11"/>
    </row>
    <row r="577" spans="2:12" ht="21">
      <c r="B577" s="9"/>
      <c r="C577" s="9"/>
    </row>
    <row r="578" spans="2:12">
      <c r="B578" s="10"/>
      <c r="C578" s="10"/>
      <c r="E578" s="11"/>
      <c r="F578" s="11"/>
      <c r="G578" s="11"/>
      <c r="H578" s="11"/>
      <c r="L578" s="4"/>
    </row>
    <row r="579" spans="2:12">
      <c r="D579" s="11"/>
    </row>
    <row r="604" spans="2:4">
      <c r="B604" s="20"/>
      <c r="C604" s="20"/>
    </row>
    <row r="605" spans="2:4">
      <c r="D605" s="12"/>
    </row>
  </sheetData>
  <autoFilter ref="A3:L24" xr:uid="{00000000-0001-0000-0000-000000000000}">
    <sortState xmlns:xlrd2="http://schemas.microsoft.com/office/spreadsheetml/2017/richdata2" ref="A4:L24">
      <sortCondition ref="A3:A24"/>
    </sortState>
  </autoFilter>
  <hyperlinks>
    <hyperlink ref="F4" r:id="rId1" xr:uid="{422C7EBA-DC3D-45B0-A665-512DE8FA8F30}"/>
    <hyperlink ref="F6" r:id="rId2" xr:uid="{50467B72-AFFE-4D8C-8869-95D9A5A78976}"/>
    <hyperlink ref="F14" r:id="rId3" xr:uid="{DAB54E46-B6F9-466B-A0C9-ED4B08236E0C}"/>
    <hyperlink ref="F16" r:id="rId4" xr:uid="{0E99A945-F0BD-45E7-AC5F-177B7B21D2B2}"/>
    <hyperlink ref="F9" r:id="rId5" xr:uid="{B602DC7D-E642-41F5-A91E-99CE35499849}"/>
    <hyperlink ref="F12" r:id="rId6" xr:uid="{56D7829A-A605-49F7-AB13-D9E4B02351EF}"/>
    <hyperlink ref="F15" r:id="rId7" xr:uid="{9D3E16EB-5694-409F-AB12-E43AD1C58D61}"/>
    <hyperlink ref="F13" r:id="rId8" xr:uid="{8113CE3C-A50E-42DA-AAE2-00E2A0796174}"/>
    <hyperlink ref="F18" r:id="rId9" xr:uid="{4B6E8F87-13AE-4AA6-B240-604A2BCF6CFE}"/>
    <hyperlink ref="F19" r:id="rId10" xr:uid="{2CA46555-4B56-4991-A05B-895FED85762D}"/>
    <hyperlink ref="F17" r:id="rId11" xr:uid="{783C65C9-AE2E-4BE4-B534-8B731EECFA60}"/>
  </hyperlinks>
  <pageMargins left="0.70866141732283472" right="0.70866141732283472" top="0.74803149606299213" bottom="0.74803149606299213" header="0.31496062992125984" footer="0.31496062992125984"/>
  <pageSetup scale="41" fitToHeight="3" orientation="landscape" r:id="rId12"/>
  <extLst>
    <ext xmlns:x14="http://schemas.microsoft.com/office/spreadsheetml/2009/9/main" uri="{CCE6A557-97BC-4b89-ADB6-D9C93CAAB3DF}">
      <x14:dataValidations xmlns:xm="http://schemas.microsoft.com/office/excel/2006/main" count="1">
        <x14:dataValidation type="list" allowBlank="1" showInputMessage="1" showErrorMessage="1" promptTitle="Type of BD Activity" prompt="Please select from the list" xr:uid="{859F8E21-DC69-4972-9BB0-63D1A2029D0D}">
          <x14:formula1>
            <xm:f>'contact type'!$A$1:$A$9</xm:f>
          </x14:formula1>
          <xm:sqref>H4:H5 H7:H12 I13 H14:H43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59FD-C4E8-4388-95D9-1685DD8312EF}">
  <sheetPr>
    <pageSetUpPr fitToPage="1"/>
  </sheetPr>
  <dimension ref="A1:N596"/>
  <sheetViews>
    <sheetView zoomScaleNormal="100" workbookViewId="0">
      <pane ySplit="3" topLeftCell="A4" activePane="bottomLeft" state="frozen"/>
      <selection pane="bottomLeft" activeCell="E28" sqref="E28"/>
    </sheetView>
  </sheetViews>
  <sheetFormatPr defaultRowHeight="15"/>
  <cols>
    <col min="1" max="1" width="5.7109375" customWidth="1"/>
    <col min="2" max="2" width="11.85546875" style="12" customWidth="1"/>
    <col min="3" max="3" width="20.7109375" style="12" customWidth="1"/>
    <col min="4" max="4" width="22.140625" style="8" customWidth="1"/>
    <col min="5" max="5" width="22.7109375" style="8" customWidth="1"/>
    <col min="6" max="6" width="31.7109375" style="8" customWidth="1"/>
    <col min="7" max="7" width="15.42578125" style="8" customWidth="1"/>
    <col min="8" max="8" width="16" style="8" customWidth="1"/>
    <col min="9" max="9" width="43.42578125" style="5" customWidth="1"/>
    <col min="10" max="10" width="22.140625" style="5" customWidth="1"/>
    <col min="11" max="11" width="24.42578125" style="5" customWidth="1"/>
    <col min="12" max="12" width="107.5703125" style="3" customWidth="1"/>
    <col min="13" max="13" width="32.85546875" customWidth="1"/>
    <col min="14" max="14" width="2.5703125" customWidth="1"/>
    <col min="16" max="16" width="13.85546875" bestFit="1" customWidth="1"/>
  </cols>
  <sheetData>
    <row r="1" spans="1:12" ht="26.25">
      <c r="A1" s="22" t="s">
        <v>156</v>
      </c>
    </row>
    <row r="2" spans="1:12" s="1" customFormat="1">
      <c r="D2" s="14"/>
      <c r="E2" s="14"/>
      <c r="F2" s="14"/>
      <c r="G2" s="14"/>
      <c r="H2" s="14"/>
      <c r="I2" s="5"/>
      <c r="J2" s="32"/>
      <c r="K2" s="5"/>
      <c r="L2" s="5"/>
    </row>
    <row r="3" spans="1:12" s="27" customFormat="1">
      <c r="A3" s="29" t="s">
        <v>40</v>
      </c>
      <c r="B3" s="28" t="s">
        <v>41</v>
      </c>
      <c r="C3" s="28" t="s">
        <v>42</v>
      </c>
      <c r="D3" s="29" t="s">
        <v>43</v>
      </c>
      <c r="E3" s="29" t="s">
        <v>44</v>
      </c>
      <c r="F3" s="29" t="s">
        <v>45</v>
      </c>
      <c r="G3" s="29" t="s">
        <v>46</v>
      </c>
      <c r="H3" s="29" t="s">
        <v>47</v>
      </c>
      <c r="I3" s="30" t="s">
        <v>48</v>
      </c>
      <c r="J3" s="30" t="s">
        <v>49</v>
      </c>
      <c r="K3" s="30" t="s">
        <v>50</v>
      </c>
      <c r="L3" s="27" t="s">
        <v>51</v>
      </c>
    </row>
    <row r="4" spans="1:12" s="1" customFormat="1">
      <c r="A4" s="17">
        <v>1</v>
      </c>
      <c r="B4" s="23"/>
      <c r="C4" s="23"/>
      <c r="D4" s="14"/>
      <c r="E4" s="14"/>
      <c r="F4" s="31"/>
      <c r="G4" s="8"/>
      <c r="H4" s="14"/>
      <c r="I4" s="5"/>
      <c r="J4" s="25">
        <v>0.01</v>
      </c>
      <c r="K4" s="25">
        <v>0</v>
      </c>
      <c r="L4" s="5"/>
    </row>
    <row r="5" spans="1:12" s="1" customFormat="1" ht="15.75" thickBot="1">
      <c r="A5" s="17"/>
      <c r="B5" s="23"/>
      <c r="C5" s="23"/>
      <c r="D5" s="14"/>
      <c r="E5" s="14"/>
      <c r="F5" s="31"/>
      <c r="G5" s="14"/>
      <c r="H5" s="14"/>
      <c r="I5" s="5"/>
      <c r="J5" s="25"/>
      <c r="K5" s="5"/>
      <c r="L5" s="5"/>
    </row>
    <row r="6" spans="1:12" s="1" customFormat="1" ht="15.75" thickTop="1">
      <c r="A6" s="34" t="s">
        <v>16</v>
      </c>
      <c r="B6" s="35"/>
      <c r="C6" s="35"/>
      <c r="D6" s="36"/>
      <c r="E6" s="36"/>
      <c r="F6" s="36"/>
      <c r="G6" s="36"/>
      <c r="H6" s="36"/>
      <c r="I6" s="37"/>
      <c r="J6" s="38"/>
      <c r="K6" s="37"/>
      <c r="L6" s="37"/>
    </row>
    <row r="7" spans="1:12" s="1" customFormat="1">
      <c r="A7" s="24">
        <f>A4</f>
        <v>1</v>
      </c>
      <c r="B7" s="23"/>
      <c r="C7" s="23"/>
      <c r="D7" s="14"/>
      <c r="E7" s="14"/>
      <c r="F7" s="14"/>
      <c r="G7" s="14"/>
      <c r="H7" s="14"/>
      <c r="I7" s="5"/>
      <c r="J7" s="25">
        <f>SUM(J4:J6)</f>
        <v>0.01</v>
      </c>
      <c r="K7" s="25">
        <f>SUM(K4:K6)</f>
        <v>0</v>
      </c>
      <c r="L7" s="5"/>
    </row>
    <row r="8" spans="1:12" s="1" customFormat="1">
      <c r="A8" s="17"/>
      <c r="B8" s="23"/>
      <c r="C8" s="23"/>
      <c r="D8" s="14"/>
      <c r="E8" s="14"/>
      <c r="F8" s="31"/>
      <c r="G8" s="8"/>
      <c r="H8" s="14"/>
      <c r="I8" s="5"/>
      <c r="J8" s="5"/>
      <c r="K8" s="5"/>
      <c r="L8" s="5"/>
    </row>
    <row r="9" spans="1:12" s="1" customFormat="1">
      <c r="A9" s="17"/>
      <c r="B9" s="23"/>
      <c r="C9" s="23"/>
      <c r="D9" s="14"/>
      <c r="E9" s="14"/>
      <c r="F9" s="31"/>
      <c r="G9" s="8"/>
      <c r="H9" s="14"/>
      <c r="I9" s="5"/>
      <c r="J9" s="25"/>
      <c r="K9" s="5"/>
      <c r="L9" s="5"/>
    </row>
    <row r="10" spans="1:12" s="1" customFormat="1">
      <c r="A10" s="17"/>
      <c r="B10" s="23"/>
      <c r="C10" s="23"/>
      <c r="D10" s="14"/>
      <c r="E10" s="14"/>
      <c r="F10" s="31"/>
      <c r="G10" s="8"/>
      <c r="H10" s="14"/>
      <c r="I10" s="5"/>
      <c r="J10" s="25"/>
      <c r="K10" s="5"/>
      <c r="L10" s="5"/>
    </row>
    <row r="11" spans="1:12" s="1" customFormat="1">
      <c r="A11" s="24"/>
      <c r="B11" s="23"/>
      <c r="C11" s="23"/>
      <c r="D11" s="14"/>
      <c r="E11" s="14"/>
      <c r="F11" s="31"/>
      <c r="G11" s="14"/>
      <c r="H11" s="14"/>
      <c r="I11" s="5"/>
      <c r="J11" s="25"/>
      <c r="K11" s="5"/>
      <c r="L11" s="5"/>
    </row>
    <row r="12" spans="1:12" s="1" customFormat="1">
      <c r="A12" s="24"/>
      <c r="B12" s="23"/>
      <c r="C12" s="23"/>
      <c r="D12" s="14"/>
      <c r="E12" s="14"/>
      <c r="F12" s="31"/>
      <c r="G12" s="14"/>
      <c r="H12" s="14"/>
      <c r="I12" s="5"/>
      <c r="J12" s="25"/>
      <c r="K12" s="5"/>
      <c r="L12" s="5"/>
    </row>
    <row r="13" spans="1:12" s="1" customFormat="1">
      <c r="A13" s="24"/>
      <c r="B13" s="23"/>
      <c r="C13" s="23"/>
      <c r="D13" s="14"/>
      <c r="E13" s="14"/>
      <c r="F13" s="14"/>
      <c r="G13" s="14"/>
      <c r="H13" s="14"/>
      <c r="I13" s="5"/>
      <c r="J13" s="25"/>
      <c r="K13" s="5"/>
      <c r="L13" s="5"/>
    </row>
    <row r="14" spans="1:12" s="1" customFormat="1">
      <c r="A14" s="24"/>
      <c r="B14" s="23"/>
      <c r="C14" s="23"/>
      <c r="D14" s="14"/>
      <c r="E14" s="14"/>
      <c r="F14" s="14"/>
      <c r="G14" s="14"/>
      <c r="H14" s="14"/>
      <c r="I14" s="5"/>
      <c r="J14" s="25"/>
      <c r="K14" s="5"/>
      <c r="L14" s="5"/>
    </row>
    <row r="15" spans="1:12" s="1" customFormat="1">
      <c r="A15" s="24"/>
      <c r="B15" s="23"/>
      <c r="C15" s="23"/>
      <c r="D15" s="14"/>
      <c r="E15" s="14"/>
      <c r="F15" s="14"/>
      <c r="G15" s="14"/>
      <c r="H15" s="14"/>
      <c r="I15" s="5"/>
      <c r="J15" s="25"/>
      <c r="K15" s="5"/>
      <c r="L15" s="5"/>
    </row>
    <row r="16" spans="1:12" s="1" customFormat="1">
      <c r="A16" s="24"/>
      <c r="B16" s="23"/>
      <c r="C16" s="23"/>
      <c r="D16" s="14"/>
      <c r="E16" s="14"/>
      <c r="F16" s="14"/>
      <c r="G16" s="14"/>
      <c r="H16" s="14"/>
      <c r="I16" s="5"/>
      <c r="J16" s="25"/>
      <c r="K16" s="5"/>
      <c r="L16" s="5"/>
    </row>
    <row r="17" spans="1:12" s="1" customFormat="1">
      <c r="A17" s="24"/>
      <c r="B17" s="23"/>
      <c r="C17" s="23"/>
      <c r="D17" s="14"/>
      <c r="E17" s="14"/>
      <c r="F17" s="14"/>
      <c r="G17" s="14"/>
      <c r="H17" s="14"/>
      <c r="I17" s="5"/>
      <c r="J17" s="25"/>
      <c r="K17" s="5"/>
      <c r="L17" s="5"/>
    </row>
    <row r="18" spans="1:12" s="1" customFormat="1">
      <c r="A18" s="24"/>
      <c r="B18" s="23"/>
      <c r="C18" s="23"/>
      <c r="D18" s="14"/>
      <c r="E18" s="14"/>
      <c r="F18" s="14"/>
      <c r="G18" s="14"/>
      <c r="H18" s="14"/>
      <c r="I18" s="5"/>
      <c r="J18" s="25"/>
      <c r="K18" s="5"/>
      <c r="L18" s="5"/>
    </row>
    <row r="19" spans="1:12" s="1" customFormat="1">
      <c r="A19" s="24"/>
      <c r="B19" s="23"/>
      <c r="C19" s="23"/>
      <c r="D19" s="14"/>
      <c r="E19" s="14"/>
      <c r="F19" s="14"/>
      <c r="G19" s="14"/>
      <c r="H19" s="14"/>
      <c r="I19" s="5"/>
      <c r="J19" s="25"/>
      <c r="K19" s="5"/>
      <c r="L19" s="5"/>
    </row>
    <row r="20" spans="1:12" s="1" customFormat="1">
      <c r="A20" s="24"/>
      <c r="B20" s="23"/>
      <c r="C20" s="23"/>
      <c r="D20" s="14"/>
      <c r="E20" s="14"/>
      <c r="F20" s="14"/>
      <c r="G20" s="14"/>
      <c r="H20" s="14"/>
      <c r="I20" s="5"/>
      <c r="J20" s="25"/>
      <c r="K20" s="5"/>
      <c r="L20" s="5"/>
    </row>
    <row r="21" spans="1:12" s="1" customFormat="1">
      <c r="A21" s="24"/>
      <c r="B21" s="23"/>
      <c r="C21" s="23"/>
      <c r="D21" s="14"/>
      <c r="E21" s="14"/>
      <c r="F21" s="14"/>
      <c r="G21" s="14"/>
      <c r="H21" s="14"/>
      <c r="I21" s="5"/>
      <c r="J21" s="25"/>
      <c r="K21" s="5"/>
      <c r="L21" s="5"/>
    </row>
    <row r="22" spans="1:12" s="1" customFormat="1">
      <c r="A22" s="24"/>
      <c r="B22" s="23"/>
      <c r="C22" s="23"/>
      <c r="D22" s="14"/>
      <c r="E22" s="14"/>
      <c r="F22" s="14"/>
      <c r="G22" s="14"/>
      <c r="H22" s="14"/>
      <c r="I22" s="5"/>
      <c r="J22" s="25"/>
      <c r="K22" s="5"/>
      <c r="L22" s="5"/>
    </row>
    <row r="23" spans="1:12" s="1" customFormat="1">
      <c r="A23" s="24"/>
      <c r="B23" s="23"/>
      <c r="C23" s="23"/>
      <c r="D23" s="14"/>
      <c r="E23" s="14"/>
      <c r="F23" s="14"/>
      <c r="G23" s="14"/>
      <c r="H23" s="14"/>
      <c r="I23" s="5"/>
      <c r="J23" s="25"/>
      <c r="K23" s="5"/>
      <c r="L23" s="5"/>
    </row>
    <row r="24" spans="1:12" s="1" customFormat="1">
      <c r="A24" s="24"/>
      <c r="B24" s="23"/>
      <c r="C24" s="23"/>
      <c r="D24" s="14"/>
      <c r="E24" s="14"/>
      <c r="F24" s="14"/>
      <c r="G24" s="14"/>
      <c r="H24" s="14"/>
      <c r="I24" s="5"/>
      <c r="J24" s="25"/>
      <c r="K24" s="5"/>
      <c r="L24" s="5"/>
    </row>
    <row r="25" spans="1:12" s="1" customFormat="1">
      <c r="A25" s="24"/>
      <c r="B25" s="23"/>
      <c r="C25" s="23"/>
      <c r="D25" s="14"/>
      <c r="E25" s="14"/>
      <c r="F25" s="14"/>
      <c r="G25" s="14"/>
      <c r="H25" s="14"/>
      <c r="I25" s="5"/>
      <c r="J25" s="25"/>
      <c r="K25" s="5"/>
      <c r="L25" s="5"/>
    </row>
    <row r="26" spans="1:12" s="1" customFormat="1">
      <c r="A26" s="24"/>
      <c r="B26" s="23"/>
      <c r="C26" s="23"/>
      <c r="D26" s="14"/>
      <c r="E26" s="14"/>
      <c r="F26" s="14"/>
      <c r="G26" s="14"/>
      <c r="H26" s="14"/>
      <c r="I26" s="5"/>
      <c r="J26" s="25"/>
      <c r="K26" s="5"/>
      <c r="L26" s="5"/>
    </row>
    <row r="27" spans="1:12" s="1" customFormat="1">
      <c r="A27" s="24"/>
      <c r="B27" s="23"/>
      <c r="C27" s="23"/>
      <c r="D27" s="14"/>
      <c r="E27" s="14"/>
      <c r="F27" s="14"/>
      <c r="G27" s="14"/>
      <c r="H27" s="14"/>
      <c r="I27" s="5"/>
      <c r="J27" s="25"/>
      <c r="K27" s="5"/>
      <c r="L27" s="5"/>
    </row>
    <row r="28" spans="1:12" s="1" customFormat="1">
      <c r="A28" s="24"/>
      <c r="B28" s="23"/>
      <c r="C28" s="23"/>
      <c r="D28" s="14"/>
      <c r="E28" s="14"/>
      <c r="F28" s="14"/>
      <c r="G28" s="14"/>
      <c r="H28" s="14"/>
      <c r="I28" s="5"/>
      <c r="J28" s="25"/>
      <c r="K28" s="5"/>
      <c r="L28" s="5"/>
    </row>
    <row r="29" spans="1:12" s="1" customFormat="1">
      <c r="A29" s="24"/>
      <c r="B29" s="23"/>
      <c r="C29" s="23"/>
      <c r="D29" s="14"/>
      <c r="E29" s="14"/>
      <c r="F29" s="14"/>
      <c r="G29" s="14"/>
      <c r="H29" s="14"/>
      <c r="I29" s="5"/>
      <c r="J29" s="25"/>
      <c r="K29" s="5"/>
      <c r="L29" s="5"/>
    </row>
    <row r="30" spans="1:12" s="1" customFormat="1">
      <c r="A30" s="24"/>
      <c r="B30" s="23"/>
      <c r="C30" s="23"/>
      <c r="D30" s="14"/>
      <c r="E30" s="14"/>
      <c r="F30" s="14"/>
      <c r="G30" s="14"/>
      <c r="H30" s="14"/>
      <c r="I30" s="5"/>
      <c r="J30" s="25"/>
      <c r="K30" s="5"/>
      <c r="L30" s="5"/>
    </row>
    <row r="31" spans="1:12" s="1" customFormat="1">
      <c r="A31" s="24"/>
      <c r="B31" s="23"/>
      <c r="C31" s="23"/>
      <c r="D31" s="14"/>
      <c r="E31" s="14"/>
      <c r="F31" s="14"/>
      <c r="G31" s="14"/>
      <c r="H31" s="14"/>
      <c r="I31" s="5"/>
      <c r="J31" s="25"/>
      <c r="K31" s="5"/>
      <c r="L31" s="5"/>
    </row>
    <row r="32" spans="1:12" s="1" customFormat="1">
      <c r="A32" s="24"/>
      <c r="B32" s="23"/>
      <c r="C32" s="23"/>
      <c r="D32" s="14"/>
      <c r="E32" s="14"/>
      <c r="F32" s="14"/>
      <c r="G32" s="14"/>
      <c r="H32" s="14"/>
      <c r="I32" s="5"/>
      <c r="J32" s="25"/>
      <c r="K32" s="5"/>
      <c r="L32" s="5"/>
    </row>
    <row r="33" spans="1:12" s="1" customFormat="1">
      <c r="A33" s="24"/>
      <c r="B33" s="23"/>
      <c r="C33" s="23"/>
      <c r="D33" s="14"/>
      <c r="E33" s="14"/>
      <c r="F33" s="14"/>
      <c r="G33" s="14"/>
      <c r="H33" s="14"/>
      <c r="I33" s="5"/>
      <c r="J33" s="25"/>
      <c r="K33" s="5"/>
      <c r="L33" s="5"/>
    </row>
    <row r="34" spans="1:12" s="1" customFormat="1">
      <c r="A34" s="24"/>
      <c r="B34" s="26"/>
      <c r="C34" s="23"/>
      <c r="D34" s="14"/>
      <c r="E34" s="14"/>
      <c r="F34" s="14"/>
      <c r="G34" s="14"/>
      <c r="H34" s="14"/>
      <c r="I34" s="5"/>
      <c r="J34" s="25"/>
      <c r="K34" s="5"/>
      <c r="L34" s="5"/>
    </row>
    <row r="35" spans="1:12" s="1" customFormat="1">
      <c r="B35" s="17"/>
      <c r="C35" s="17"/>
      <c r="D35" s="14"/>
      <c r="E35" s="14"/>
      <c r="F35" s="14"/>
      <c r="G35" s="14"/>
      <c r="H35" s="14"/>
      <c r="I35" s="5"/>
      <c r="J35" s="5"/>
      <c r="K35" s="5"/>
      <c r="L35" s="5"/>
    </row>
    <row r="36" spans="1:12" s="1" customFormat="1">
      <c r="B36" s="17"/>
      <c r="C36" s="17"/>
      <c r="D36" s="14"/>
      <c r="E36" s="14"/>
      <c r="F36" s="14"/>
      <c r="G36" s="14"/>
      <c r="H36" s="14"/>
      <c r="I36" s="5"/>
      <c r="J36" s="5"/>
      <c r="K36" s="5"/>
      <c r="L36" s="5"/>
    </row>
    <row r="37" spans="1:12" s="1" customFormat="1">
      <c r="B37" s="17"/>
      <c r="C37" s="17"/>
      <c r="D37" s="14"/>
      <c r="E37" s="14"/>
      <c r="F37" s="14"/>
      <c r="G37" s="14"/>
      <c r="H37" s="14"/>
      <c r="I37" s="5"/>
      <c r="J37" s="5"/>
      <c r="K37" s="5"/>
      <c r="L37" s="5"/>
    </row>
    <row r="38" spans="1:12" s="1" customFormat="1">
      <c r="B38" s="17"/>
      <c r="C38" s="17"/>
      <c r="D38" s="14"/>
      <c r="E38" s="14"/>
      <c r="F38" s="14"/>
      <c r="G38" s="14"/>
      <c r="H38" s="14"/>
      <c r="I38" s="5"/>
      <c r="J38" s="5"/>
      <c r="K38" s="5"/>
      <c r="L38" s="5"/>
    </row>
    <row r="39" spans="1:12" s="1" customFormat="1">
      <c r="B39" s="17"/>
      <c r="C39" s="17"/>
      <c r="D39" s="14"/>
      <c r="E39" s="14"/>
      <c r="F39" s="14"/>
      <c r="G39" s="14"/>
      <c r="H39" s="14"/>
      <c r="I39" s="5"/>
      <c r="J39" s="5"/>
      <c r="K39" s="5"/>
      <c r="L39" s="5"/>
    </row>
    <row r="40" spans="1:12" s="1" customFormat="1">
      <c r="B40" s="17"/>
      <c r="C40" s="17"/>
      <c r="D40" s="14"/>
      <c r="E40" s="14"/>
      <c r="F40" s="14"/>
      <c r="G40" s="14"/>
      <c r="H40" s="14"/>
      <c r="I40" s="5"/>
      <c r="J40" s="5"/>
      <c r="K40" s="5"/>
      <c r="L40" s="5"/>
    </row>
    <row r="41" spans="1:12" s="1" customFormat="1">
      <c r="B41" s="17"/>
      <c r="C41" s="17"/>
      <c r="D41" s="14"/>
      <c r="E41" s="14"/>
      <c r="F41" s="14"/>
      <c r="G41" s="14"/>
      <c r="H41" s="14"/>
      <c r="I41" s="5"/>
      <c r="J41" s="5"/>
      <c r="K41" s="5"/>
      <c r="L41" s="5"/>
    </row>
    <row r="42" spans="1:12" s="1" customFormat="1">
      <c r="B42" s="17"/>
      <c r="C42" s="17"/>
      <c r="D42" s="14"/>
      <c r="E42" s="14"/>
      <c r="F42" s="14"/>
      <c r="G42" s="14"/>
      <c r="H42" s="14"/>
      <c r="I42" s="5"/>
      <c r="J42" s="5"/>
      <c r="K42" s="5"/>
      <c r="L42" s="5"/>
    </row>
    <row r="43" spans="1:12" s="1" customFormat="1">
      <c r="B43" s="17"/>
      <c r="C43" s="17"/>
      <c r="D43" s="14"/>
      <c r="E43" s="14"/>
      <c r="F43" s="14"/>
      <c r="G43" s="14"/>
      <c r="H43" s="14"/>
      <c r="I43" s="5"/>
      <c r="J43" s="5"/>
      <c r="K43" s="5"/>
      <c r="L43" s="5"/>
    </row>
    <row r="44" spans="1:12" s="1" customFormat="1">
      <c r="B44" s="17"/>
      <c r="C44" s="17"/>
      <c r="D44" s="14"/>
      <c r="E44" s="14"/>
      <c r="F44" s="14"/>
      <c r="G44" s="14"/>
      <c r="H44" s="14"/>
      <c r="I44" s="5"/>
      <c r="J44" s="5"/>
      <c r="K44" s="5"/>
      <c r="L44" s="5"/>
    </row>
    <row r="45" spans="1:12" s="1" customFormat="1">
      <c r="B45" s="17"/>
      <c r="C45" s="17"/>
      <c r="D45" s="14"/>
      <c r="E45" s="14"/>
      <c r="F45" s="14"/>
      <c r="G45" s="14"/>
      <c r="H45" s="14"/>
      <c r="I45" s="5"/>
      <c r="J45" s="5"/>
      <c r="K45" s="5"/>
      <c r="L45" s="5"/>
    </row>
    <row r="46" spans="1:12" s="1" customFormat="1">
      <c r="B46" s="17"/>
      <c r="C46" s="17"/>
      <c r="D46" s="14"/>
      <c r="E46" s="14"/>
      <c r="F46" s="14"/>
      <c r="G46" s="14"/>
      <c r="H46" s="14"/>
      <c r="I46" s="5"/>
      <c r="J46" s="5"/>
      <c r="K46" s="5"/>
      <c r="L46" s="5"/>
    </row>
    <row r="47" spans="1:12" s="1" customFormat="1">
      <c r="B47" s="17"/>
      <c r="C47" s="17"/>
      <c r="D47" s="14"/>
      <c r="E47" s="14"/>
      <c r="F47" s="14"/>
      <c r="G47" s="14"/>
      <c r="H47" s="14"/>
      <c r="I47" s="5"/>
      <c r="J47" s="5"/>
      <c r="K47" s="5"/>
      <c r="L47" s="5"/>
    </row>
    <row r="48" spans="1:12" s="1" customFormat="1">
      <c r="B48" s="17"/>
      <c r="C48" s="17"/>
      <c r="D48" s="14"/>
      <c r="E48" s="14"/>
      <c r="F48" s="14"/>
      <c r="G48" s="14"/>
      <c r="H48" s="14"/>
      <c r="I48" s="5"/>
      <c r="J48" s="5"/>
      <c r="K48" s="5"/>
      <c r="L48" s="5"/>
    </row>
    <row r="49" spans="2:12" s="1" customFormat="1">
      <c r="B49" s="17"/>
      <c r="C49" s="17"/>
      <c r="D49" s="14"/>
      <c r="E49" s="14"/>
      <c r="F49" s="14"/>
      <c r="G49" s="14"/>
      <c r="H49" s="14"/>
      <c r="I49" s="5"/>
      <c r="J49" s="5"/>
      <c r="K49" s="5"/>
      <c r="L49" s="5"/>
    </row>
    <row r="50" spans="2:12" s="1" customFormat="1">
      <c r="B50" s="17"/>
      <c r="C50" s="17"/>
      <c r="D50" s="14"/>
      <c r="E50" s="14"/>
      <c r="F50" s="14"/>
      <c r="G50" s="14"/>
      <c r="H50" s="14"/>
      <c r="I50" s="5"/>
      <c r="J50" s="5"/>
      <c r="K50" s="5"/>
      <c r="L50" s="5"/>
    </row>
    <row r="51" spans="2:12" s="1" customFormat="1">
      <c r="B51" s="17"/>
      <c r="C51" s="17"/>
      <c r="D51" s="14"/>
      <c r="E51" s="14"/>
      <c r="F51" s="14"/>
      <c r="G51" s="14"/>
      <c r="H51" s="14"/>
      <c r="I51" s="5"/>
      <c r="J51" s="5"/>
      <c r="K51" s="5"/>
      <c r="L51" s="5"/>
    </row>
    <row r="52" spans="2:12" s="1" customFormat="1">
      <c r="B52" s="17"/>
      <c r="C52" s="17"/>
      <c r="D52" s="14"/>
      <c r="E52" s="14"/>
      <c r="F52" s="14"/>
      <c r="G52" s="14"/>
      <c r="H52" s="14"/>
      <c r="I52" s="5"/>
      <c r="J52" s="5"/>
      <c r="K52" s="5"/>
      <c r="L52" s="5"/>
    </row>
    <row r="53" spans="2:12" s="1" customFormat="1">
      <c r="B53" s="17"/>
      <c r="C53" s="17"/>
      <c r="D53" s="14"/>
      <c r="E53" s="14"/>
      <c r="F53" s="14"/>
      <c r="G53" s="14"/>
      <c r="H53" s="14"/>
      <c r="I53" s="5"/>
      <c r="J53" s="5"/>
      <c r="K53" s="5"/>
      <c r="L53" s="5"/>
    </row>
    <row r="54" spans="2:12" s="1" customFormat="1">
      <c r="B54" s="17"/>
      <c r="C54" s="17"/>
      <c r="D54" s="14"/>
      <c r="E54" s="14"/>
      <c r="F54" s="14"/>
      <c r="G54" s="14"/>
      <c r="H54" s="14"/>
      <c r="I54" s="5"/>
      <c r="J54" s="5"/>
      <c r="K54" s="5"/>
      <c r="L54" s="5"/>
    </row>
    <row r="55" spans="2:12" s="1" customFormat="1">
      <c r="B55" s="17"/>
      <c r="C55" s="17"/>
      <c r="D55" s="14"/>
      <c r="E55" s="14"/>
      <c r="F55" s="14"/>
      <c r="G55" s="14"/>
      <c r="H55" s="14"/>
      <c r="I55" s="5"/>
      <c r="J55" s="5"/>
      <c r="K55" s="5"/>
      <c r="L55" s="5"/>
    </row>
    <row r="56" spans="2:12" s="1" customFormat="1">
      <c r="B56" s="17"/>
      <c r="C56" s="17"/>
      <c r="D56" s="14"/>
      <c r="E56" s="14"/>
      <c r="F56" s="14"/>
      <c r="G56" s="14"/>
      <c r="H56" s="14"/>
      <c r="I56" s="5"/>
      <c r="J56" s="5"/>
      <c r="K56" s="5"/>
      <c r="L56" s="5"/>
    </row>
    <row r="57" spans="2:12" s="1" customFormat="1">
      <c r="B57" s="17"/>
      <c r="C57" s="17"/>
      <c r="D57" s="14"/>
      <c r="E57" s="14"/>
      <c r="F57" s="14"/>
      <c r="G57" s="14"/>
      <c r="H57" s="14"/>
      <c r="I57" s="5"/>
      <c r="J57" s="5"/>
      <c r="K57" s="5"/>
      <c r="L57" s="5"/>
    </row>
    <row r="58" spans="2:12" s="1" customFormat="1">
      <c r="B58" s="17"/>
      <c r="C58" s="17"/>
      <c r="D58" s="14"/>
      <c r="E58" s="14"/>
      <c r="F58" s="14"/>
      <c r="G58" s="14"/>
      <c r="H58" s="14"/>
      <c r="I58" s="5"/>
      <c r="J58" s="5"/>
      <c r="K58" s="5"/>
      <c r="L58" s="5"/>
    </row>
    <row r="59" spans="2:12" s="1" customFormat="1">
      <c r="B59" s="17"/>
      <c r="C59" s="17"/>
      <c r="D59" s="14"/>
      <c r="E59" s="14"/>
      <c r="F59" s="14"/>
      <c r="G59" s="14"/>
      <c r="H59" s="14"/>
      <c r="I59" s="5"/>
      <c r="J59" s="5"/>
      <c r="K59" s="5"/>
      <c r="L59" s="5"/>
    </row>
    <row r="60" spans="2:12" s="1" customFormat="1">
      <c r="B60" s="17"/>
      <c r="C60" s="17"/>
      <c r="D60" s="14"/>
      <c r="E60" s="14"/>
      <c r="F60" s="14"/>
      <c r="G60" s="14"/>
      <c r="H60" s="14"/>
      <c r="I60" s="5"/>
      <c r="J60" s="5"/>
      <c r="K60" s="5"/>
      <c r="L60" s="5"/>
    </row>
    <row r="61" spans="2:12" s="1" customFormat="1">
      <c r="B61" s="17"/>
      <c r="C61" s="17"/>
      <c r="D61" s="14"/>
      <c r="E61" s="14"/>
      <c r="F61" s="14"/>
      <c r="G61" s="14"/>
      <c r="H61" s="14"/>
      <c r="I61" s="5"/>
      <c r="J61" s="5"/>
      <c r="K61" s="5"/>
      <c r="L61" s="5"/>
    </row>
    <row r="62" spans="2:12" s="1" customFormat="1">
      <c r="B62" s="17"/>
      <c r="C62" s="17"/>
      <c r="D62" s="14"/>
      <c r="E62" s="14"/>
      <c r="F62" s="14"/>
      <c r="G62" s="14"/>
      <c r="H62" s="14"/>
      <c r="I62" s="5"/>
      <c r="J62" s="5"/>
      <c r="K62" s="5"/>
      <c r="L62" s="5"/>
    </row>
    <row r="63" spans="2:12" s="1" customFormat="1">
      <c r="B63" s="17"/>
      <c r="C63" s="17"/>
      <c r="D63" s="14"/>
      <c r="E63" s="14"/>
      <c r="F63" s="14"/>
      <c r="G63" s="14"/>
      <c r="H63" s="14"/>
      <c r="I63" s="5"/>
      <c r="J63" s="5"/>
      <c r="K63" s="5"/>
      <c r="L63" s="5"/>
    </row>
    <row r="64" spans="2:12" s="1" customFormat="1">
      <c r="B64" s="17"/>
      <c r="C64" s="17"/>
      <c r="D64" s="14"/>
      <c r="E64" s="14"/>
      <c r="F64" s="14"/>
      <c r="G64" s="14"/>
      <c r="H64" s="14"/>
      <c r="I64" s="5"/>
      <c r="J64" s="5"/>
      <c r="K64" s="5"/>
      <c r="L64" s="5"/>
    </row>
    <row r="65" spans="2:12" s="1" customFormat="1">
      <c r="B65" s="17"/>
      <c r="C65" s="17"/>
      <c r="D65" s="14"/>
      <c r="E65" s="14"/>
      <c r="F65" s="14"/>
      <c r="G65" s="14"/>
      <c r="H65" s="14"/>
      <c r="I65" s="5"/>
      <c r="J65" s="5"/>
      <c r="K65" s="5"/>
      <c r="L65" s="5"/>
    </row>
    <row r="66" spans="2:12" s="1" customFormat="1">
      <c r="B66" s="17"/>
      <c r="C66" s="17"/>
      <c r="D66" s="14"/>
      <c r="E66" s="14"/>
      <c r="F66" s="14"/>
      <c r="G66" s="14"/>
      <c r="H66" s="14"/>
      <c r="I66" s="5"/>
      <c r="J66" s="5"/>
      <c r="K66" s="5"/>
      <c r="L66" s="5"/>
    </row>
    <row r="67" spans="2:12" s="1" customFormat="1">
      <c r="B67" s="17"/>
      <c r="C67" s="17"/>
      <c r="D67" s="14"/>
      <c r="E67" s="14"/>
      <c r="F67" s="14"/>
      <c r="G67" s="14"/>
      <c r="H67" s="14"/>
      <c r="I67" s="5"/>
      <c r="J67" s="5"/>
      <c r="K67" s="5"/>
      <c r="L67" s="5"/>
    </row>
    <row r="68" spans="2:12" s="1" customFormat="1">
      <c r="B68" s="17"/>
      <c r="C68" s="17"/>
      <c r="D68" s="14"/>
      <c r="E68" s="14"/>
      <c r="F68" s="14"/>
      <c r="G68" s="14"/>
      <c r="H68" s="14"/>
      <c r="I68" s="5"/>
      <c r="J68" s="5"/>
      <c r="K68" s="5"/>
      <c r="L68" s="5"/>
    </row>
    <row r="69" spans="2:12" s="1" customFormat="1">
      <c r="B69" s="17"/>
      <c r="C69" s="17"/>
      <c r="D69" s="14"/>
      <c r="E69" s="14"/>
      <c r="F69" s="14"/>
      <c r="G69" s="14"/>
      <c r="H69" s="14"/>
      <c r="I69" s="5"/>
      <c r="J69" s="5"/>
      <c r="K69" s="5"/>
      <c r="L69" s="5"/>
    </row>
    <row r="70" spans="2:12" s="1" customFormat="1">
      <c r="B70" s="17"/>
      <c r="C70" s="17"/>
      <c r="D70" s="14"/>
      <c r="E70" s="14"/>
      <c r="F70" s="14"/>
      <c r="G70" s="14"/>
      <c r="H70" s="14"/>
      <c r="I70" s="5"/>
      <c r="J70" s="5"/>
      <c r="K70" s="5"/>
      <c r="L70" s="5"/>
    </row>
    <row r="71" spans="2:12" s="1" customFormat="1">
      <c r="B71" s="17"/>
      <c r="C71" s="17"/>
      <c r="D71" s="14"/>
      <c r="E71" s="14"/>
      <c r="F71" s="14"/>
      <c r="G71" s="14"/>
      <c r="H71" s="14"/>
      <c r="I71" s="5"/>
      <c r="J71" s="5"/>
      <c r="K71" s="5"/>
      <c r="L71" s="5"/>
    </row>
    <row r="72" spans="2:12" s="1" customFormat="1">
      <c r="B72" s="17"/>
      <c r="C72" s="17"/>
      <c r="D72" s="14"/>
      <c r="E72" s="14"/>
      <c r="F72" s="14"/>
      <c r="G72" s="14"/>
      <c r="H72" s="14"/>
      <c r="I72" s="5"/>
      <c r="J72" s="5"/>
      <c r="K72" s="5"/>
      <c r="L72" s="5"/>
    </row>
    <row r="73" spans="2:12" s="1" customFormat="1">
      <c r="B73" s="17"/>
      <c r="C73" s="17"/>
      <c r="D73" s="14"/>
      <c r="E73" s="14"/>
      <c r="F73" s="14"/>
      <c r="G73" s="14"/>
      <c r="H73" s="14"/>
      <c r="I73" s="5"/>
      <c r="J73" s="5"/>
      <c r="K73" s="5"/>
      <c r="L73" s="5"/>
    </row>
    <row r="74" spans="2:12" s="1" customFormat="1">
      <c r="B74" s="17"/>
      <c r="C74" s="17"/>
      <c r="D74" s="14"/>
      <c r="E74" s="14"/>
      <c r="F74" s="14"/>
      <c r="G74" s="14"/>
      <c r="H74" s="14"/>
      <c r="I74" s="5"/>
      <c r="J74" s="5"/>
      <c r="K74" s="5"/>
      <c r="L74" s="5"/>
    </row>
    <row r="75" spans="2:12" s="1" customFormat="1">
      <c r="B75" s="17"/>
      <c r="C75" s="17"/>
      <c r="D75" s="14"/>
      <c r="E75" s="14"/>
      <c r="F75" s="14"/>
      <c r="G75" s="14"/>
      <c r="H75" s="14"/>
      <c r="I75" s="5"/>
      <c r="J75" s="5"/>
      <c r="K75" s="5"/>
      <c r="L75" s="5"/>
    </row>
    <row r="76" spans="2:12" s="1" customFormat="1">
      <c r="B76" s="17"/>
      <c r="C76" s="17"/>
      <c r="D76" s="14"/>
      <c r="E76" s="14"/>
      <c r="F76" s="14"/>
      <c r="G76" s="14"/>
      <c r="H76" s="14"/>
      <c r="I76" s="5"/>
      <c r="J76" s="5"/>
      <c r="K76" s="5"/>
      <c r="L76" s="5"/>
    </row>
    <row r="77" spans="2:12" s="1" customFormat="1">
      <c r="B77" s="17"/>
      <c r="C77" s="17"/>
      <c r="D77" s="14"/>
      <c r="E77" s="14"/>
      <c r="F77" s="14"/>
      <c r="G77" s="14"/>
      <c r="H77" s="14"/>
      <c r="I77" s="5"/>
      <c r="J77" s="5"/>
      <c r="K77" s="5"/>
      <c r="L77" s="5"/>
    </row>
    <row r="78" spans="2:12" s="1" customFormat="1">
      <c r="B78" s="17"/>
      <c r="C78" s="17"/>
      <c r="D78" s="14"/>
      <c r="E78" s="14"/>
      <c r="F78" s="14"/>
      <c r="G78" s="14"/>
      <c r="H78" s="14"/>
      <c r="I78" s="5"/>
      <c r="J78" s="5"/>
      <c r="K78" s="5"/>
      <c r="L78" s="5"/>
    </row>
    <row r="79" spans="2:12" s="1" customFormat="1">
      <c r="B79" s="17"/>
      <c r="C79" s="17"/>
      <c r="D79" s="14"/>
      <c r="E79" s="14"/>
      <c r="F79" s="14"/>
      <c r="G79" s="14"/>
      <c r="H79" s="14"/>
      <c r="I79" s="5"/>
      <c r="J79" s="5"/>
      <c r="K79" s="5"/>
      <c r="L79" s="5"/>
    </row>
    <row r="80" spans="2:12" s="1" customFormat="1">
      <c r="B80" s="17"/>
      <c r="C80" s="17"/>
      <c r="D80" s="14"/>
      <c r="E80" s="14"/>
      <c r="F80" s="14"/>
      <c r="G80" s="14"/>
      <c r="H80" s="14"/>
      <c r="I80" s="5"/>
      <c r="J80" s="5"/>
      <c r="K80" s="5"/>
      <c r="L80" s="5"/>
    </row>
    <row r="81" spans="2:12" s="1" customFormat="1">
      <c r="B81" s="17"/>
      <c r="C81" s="17"/>
      <c r="D81" s="14"/>
      <c r="E81" s="14"/>
      <c r="F81" s="14"/>
      <c r="G81" s="14"/>
      <c r="H81" s="14"/>
      <c r="I81" s="5"/>
      <c r="J81" s="5"/>
      <c r="K81" s="5"/>
      <c r="L81" s="5"/>
    </row>
    <row r="82" spans="2:12" s="1" customFormat="1">
      <c r="B82" s="17"/>
      <c r="C82" s="17"/>
      <c r="D82" s="14"/>
      <c r="E82" s="14"/>
      <c r="F82" s="14"/>
      <c r="G82" s="14"/>
      <c r="H82" s="14"/>
      <c r="I82" s="5"/>
      <c r="J82" s="5"/>
      <c r="K82" s="5"/>
      <c r="L82" s="5"/>
    </row>
    <row r="83" spans="2:12" s="1" customFormat="1">
      <c r="B83" s="17"/>
      <c r="C83" s="17"/>
      <c r="D83" s="14"/>
      <c r="E83" s="14"/>
      <c r="F83" s="14"/>
      <c r="G83" s="14"/>
      <c r="H83" s="14"/>
      <c r="I83" s="5"/>
      <c r="J83" s="5"/>
      <c r="K83" s="5"/>
      <c r="L83" s="5"/>
    </row>
    <row r="84" spans="2:12" s="1" customFormat="1">
      <c r="B84" s="17"/>
      <c r="C84" s="17"/>
      <c r="D84" s="14"/>
      <c r="E84" s="14"/>
      <c r="F84" s="14"/>
      <c r="G84" s="14"/>
      <c r="H84" s="14"/>
      <c r="I84" s="5"/>
      <c r="J84" s="5"/>
      <c r="K84" s="5"/>
      <c r="L84" s="5"/>
    </row>
    <row r="85" spans="2:12" s="1" customFormat="1">
      <c r="B85" s="17"/>
      <c r="C85" s="17"/>
      <c r="D85" s="14"/>
      <c r="E85" s="14"/>
      <c r="F85" s="14"/>
      <c r="G85" s="14"/>
      <c r="H85" s="14"/>
      <c r="I85" s="5"/>
      <c r="J85" s="5"/>
      <c r="K85" s="5"/>
      <c r="L85" s="5"/>
    </row>
    <row r="86" spans="2:12" s="1" customFormat="1">
      <c r="B86" s="17"/>
      <c r="C86" s="17"/>
      <c r="D86" s="14"/>
      <c r="E86" s="14"/>
      <c r="F86" s="14"/>
      <c r="G86" s="14"/>
      <c r="H86" s="14"/>
      <c r="I86" s="5"/>
      <c r="J86" s="5"/>
      <c r="K86" s="5"/>
      <c r="L86" s="5"/>
    </row>
    <row r="87" spans="2:12" s="1" customFormat="1">
      <c r="B87" s="17"/>
      <c r="C87" s="17"/>
      <c r="D87" s="14"/>
      <c r="E87" s="14"/>
      <c r="F87" s="14"/>
      <c r="G87" s="14"/>
      <c r="H87" s="14"/>
      <c r="I87" s="5"/>
      <c r="J87" s="5"/>
      <c r="K87" s="5"/>
      <c r="L87" s="5"/>
    </row>
    <row r="88" spans="2:12" s="1" customFormat="1">
      <c r="B88" s="17"/>
      <c r="C88" s="17"/>
      <c r="D88" s="14"/>
      <c r="E88" s="14"/>
      <c r="F88" s="14"/>
      <c r="G88" s="14"/>
      <c r="H88" s="14"/>
      <c r="I88" s="5"/>
      <c r="J88" s="5"/>
      <c r="K88" s="5"/>
      <c r="L88" s="5"/>
    </row>
    <row r="89" spans="2:12" s="1" customFormat="1">
      <c r="B89" s="17"/>
      <c r="C89" s="17"/>
      <c r="D89" s="14"/>
      <c r="E89" s="14"/>
      <c r="F89" s="14"/>
      <c r="G89" s="14"/>
      <c r="H89" s="14"/>
      <c r="I89" s="5"/>
      <c r="J89" s="5"/>
      <c r="K89" s="5"/>
      <c r="L89" s="5"/>
    </row>
    <row r="90" spans="2:12" s="1" customFormat="1">
      <c r="B90" s="17"/>
      <c r="C90" s="17"/>
      <c r="D90" s="14"/>
      <c r="E90" s="14"/>
      <c r="F90" s="14"/>
      <c r="G90" s="14"/>
      <c r="H90" s="14"/>
      <c r="I90" s="5"/>
      <c r="J90" s="5"/>
      <c r="K90" s="5"/>
      <c r="L90" s="5"/>
    </row>
    <row r="91" spans="2:12" s="1" customFormat="1">
      <c r="B91" s="17"/>
      <c r="C91" s="17"/>
      <c r="D91" s="14"/>
      <c r="E91" s="14"/>
      <c r="F91" s="14"/>
      <c r="G91" s="14"/>
      <c r="H91" s="14"/>
      <c r="I91" s="5"/>
      <c r="J91" s="5"/>
      <c r="K91" s="5"/>
      <c r="L91" s="5"/>
    </row>
    <row r="92" spans="2:12" s="1" customFormat="1">
      <c r="B92" s="17"/>
      <c r="C92" s="17"/>
      <c r="D92" s="14"/>
      <c r="E92" s="14"/>
      <c r="F92" s="14"/>
      <c r="G92" s="14"/>
      <c r="H92" s="14"/>
      <c r="I92" s="5"/>
      <c r="J92" s="5"/>
      <c r="K92" s="5"/>
      <c r="L92" s="5"/>
    </row>
    <row r="93" spans="2:12" s="1" customFormat="1">
      <c r="B93" s="17"/>
      <c r="C93" s="17"/>
      <c r="D93" s="14"/>
      <c r="E93" s="14"/>
      <c r="F93" s="14"/>
      <c r="G93" s="14"/>
      <c r="H93" s="14"/>
      <c r="I93" s="5"/>
      <c r="J93" s="5"/>
      <c r="K93" s="5"/>
      <c r="L93" s="5"/>
    </row>
    <row r="94" spans="2:12" s="1" customFormat="1">
      <c r="B94" s="17"/>
      <c r="C94" s="17"/>
      <c r="D94" s="14"/>
      <c r="E94" s="14"/>
      <c r="F94" s="14"/>
      <c r="G94" s="14"/>
      <c r="H94" s="14"/>
      <c r="I94" s="5"/>
      <c r="J94" s="5"/>
      <c r="K94" s="5"/>
      <c r="L94" s="5"/>
    </row>
    <row r="95" spans="2:12" s="1" customFormat="1">
      <c r="B95" s="17"/>
      <c r="C95" s="17"/>
      <c r="D95" s="14"/>
      <c r="E95" s="14"/>
      <c r="F95" s="14"/>
      <c r="G95" s="14"/>
      <c r="H95" s="14"/>
      <c r="I95" s="5"/>
      <c r="J95" s="5"/>
      <c r="K95" s="5"/>
      <c r="L95" s="5"/>
    </row>
    <row r="96" spans="2:12" s="1" customFormat="1">
      <c r="B96" s="17"/>
      <c r="C96" s="17"/>
      <c r="D96" s="14"/>
      <c r="E96" s="14"/>
      <c r="F96" s="14"/>
      <c r="G96" s="14"/>
      <c r="H96" s="14"/>
      <c r="I96" s="5"/>
      <c r="J96" s="5"/>
      <c r="K96" s="5"/>
      <c r="L96" s="5"/>
    </row>
    <row r="97" spans="2:14" s="1" customFormat="1">
      <c r="B97" s="17"/>
      <c r="C97" s="17"/>
      <c r="D97" s="14"/>
      <c r="E97" s="14"/>
      <c r="F97" s="14"/>
      <c r="G97" s="14"/>
      <c r="H97" s="14"/>
      <c r="I97" s="5"/>
      <c r="J97" s="5"/>
      <c r="K97" s="5"/>
      <c r="L97" s="5"/>
    </row>
    <row r="98" spans="2:14" s="1" customFormat="1">
      <c r="B98" s="17"/>
      <c r="C98" s="17"/>
      <c r="D98" s="14"/>
      <c r="E98" s="14"/>
      <c r="F98" s="14"/>
      <c r="G98" s="14"/>
      <c r="H98" s="14"/>
      <c r="I98" s="5"/>
      <c r="J98" s="5"/>
      <c r="K98" s="5"/>
      <c r="L98" s="5"/>
    </row>
    <row r="99" spans="2:14" s="1" customFormat="1">
      <c r="B99" s="17"/>
      <c r="C99" s="17"/>
      <c r="D99" s="14"/>
      <c r="E99" s="14"/>
      <c r="F99" s="14"/>
      <c r="G99" s="14"/>
      <c r="H99" s="14"/>
      <c r="I99" s="5"/>
      <c r="J99" s="5"/>
      <c r="K99" s="5"/>
      <c r="L99" s="5"/>
    </row>
    <row r="100" spans="2:14" s="1" customFormat="1">
      <c r="B100" s="17"/>
      <c r="C100" s="17"/>
      <c r="D100" s="14"/>
      <c r="E100" s="14"/>
      <c r="F100" s="14"/>
      <c r="G100" s="14"/>
      <c r="H100" s="14"/>
      <c r="I100" s="5"/>
      <c r="J100" s="5"/>
      <c r="K100" s="5"/>
      <c r="L100" s="5"/>
      <c r="N100" s="21"/>
    </row>
    <row r="101" spans="2:14" s="1" customFormat="1">
      <c r="B101" s="17"/>
      <c r="C101" s="17"/>
      <c r="D101" s="14"/>
      <c r="E101" s="14"/>
      <c r="F101" s="14"/>
      <c r="G101" s="14"/>
      <c r="H101" s="14"/>
      <c r="I101" s="5"/>
      <c r="J101" s="5"/>
      <c r="K101" s="5"/>
      <c r="L101" s="5"/>
    </row>
    <row r="102" spans="2:14" s="1" customFormat="1">
      <c r="B102" s="17"/>
      <c r="C102" s="17"/>
      <c r="D102" s="14"/>
      <c r="E102" s="14"/>
      <c r="F102" s="14"/>
      <c r="G102" s="14"/>
      <c r="H102" s="14"/>
      <c r="I102" s="5"/>
      <c r="J102" s="5"/>
      <c r="K102" s="5"/>
      <c r="L102" s="5"/>
    </row>
    <row r="103" spans="2:14" s="1" customFormat="1">
      <c r="B103" s="17"/>
      <c r="C103" s="17"/>
      <c r="D103" s="14"/>
      <c r="E103" s="14"/>
      <c r="F103" s="14"/>
      <c r="G103" s="14"/>
      <c r="H103" s="14"/>
      <c r="I103" s="5"/>
      <c r="J103" s="5"/>
      <c r="K103" s="5"/>
      <c r="L103" s="5"/>
    </row>
    <row r="104" spans="2:14" s="1" customFormat="1">
      <c r="B104" s="17"/>
      <c r="C104" s="17"/>
      <c r="D104" s="14"/>
      <c r="E104" s="14"/>
      <c r="F104" s="14"/>
      <c r="G104" s="14"/>
      <c r="H104" s="14"/>
      <c r="I104" s="5"/>
      <c r="J104" s="5"/>
      <c r="K104" s="5"/>
      <c r="L104" s="5"/>
    </row>
    <row r="105" spans="2:14" s="1" customFormat="1">
      <c r="B105" s="17"/>
      <c r="C105" s="17"/>
      <c r="D105" s="14"/>
      <c r="E105" s="14"/>
      <c r="F105" s="14"/>
      <c r="G105" s="14"/>
      <c r="H105" s="14"/>
      <c r="I105" s="5"/>
      <c r="J105" s="5"/>
      <c r="K105" s="5"/>
      <c r="L105" s="5"/>
    </row>
    <row r="106" spans="2:14" s="1" customFormat="1">
      <c r="B106" s="17"/>
      <c r="C106" s="17"/>
      <c r="D106" s="14"/>
      <c r="E106" s="14"/>
      <c r="F106" s="14"/>
      <c r="G106" s="14"/>
      <c r="H106" s="14"/>
      <c r="I106" s="5"/>
      <c r="J106" s="5"/>
      <c r="K106" s="5"/>
      <c r="L106" s="5"/>
    </row>
    <row r="107" spans="2:14" s="1" customFormat="1">
      <c r="B107" s="17"/>
      <c r="C107" s="17"/>
      <c r="D107" s="14"/>
      <c r="E107" s="14"/>
      <c r="F107" s="14"/>
      <c r="G107" s="14"/>
      <c r="H107" s="14"/>
      <c r="I107" s="5"/>
      <c r="J107" s="5"/>
      <c r="K107" s="5"/>
      <c r="L107" s="5"/>
    </row>
    <row r="108" spans="2:14" s="1" customFormat="1">
      <c r="B108" s="17"/>
      <c r="C108" s="17"/>
      <c r="D108" s="14"/>
      <c r="E108" s="14"/>
      <c r="F108" s="14"/>
      <c r="G108" s="14"/>
      <c r="H108" s="14"/>
      <c r="I108" s="5"/>
      <c r="J108" s="5"/>
      <c r="K108" s="5"/>
      <c r="L108" s="5"/>
    </row>
    <row r="109" spans="2:14" s="1" customFormat="1">
      <c r="B109" s="17"/>
      <c r="C109" s="17"/>
      <c r="D109" s="14"/>
      <c r="E109" s="14"/>
      <c r="F109" s="14"/>
      <c r="G109" s="14"/>
      <c r="H109" s="14"/>
      <c r="I109" s="5"/>
      <c r="J109" s="5"/>
      <c r="K109" s="5"/>
      <c r="L109" s="5"/>
    </row>
    <row r="110" spans="2:14" s="1" customFormat="1">
      <c r="B110" s="17"/>
      <c r="C110" s="17"/>
      <c r="D110" s="14"/>
      <c r="E110" s="14"/>
      <c r="F110" s="14"/>
      <c r="G110" s="14"/>
      <c r="H110" s="14"/>
      <c r="I110" s="5"/>
      <c r="J110" s="5"/>
      <c r="K110" s="5"/>
      <c r="L110" s="5"/>
    </row>
    <row r="111" spans="2:14" s="1" customFormat="1">
      <c r="B111" s="17"/>
      <c r="C111" s="17"/>
      <c r="D111" s="14"/>
      <c r="E111" s="14"/>
      <c r="F111" s="14"/>
      <c r="G111" s="14"/>
      <c r="H111" s="14"/>
      <c r="I111" s="5"/>
      <c r="J111" s="5"/>
      <c r="K111" s="5"/>
      <c r="L111" s="5"/>
    </row>
    <row r="112" spans="2:14" s="1" customFormat="1">
      <c r="B112" s="17"/>
      <c r="C112" s="17"/>
      <c r="D112" s="14"/>
      <c r="E112" s="14"/>
      <c r="F112" s="14"/>
      <c r="G112" s="14"/>
      <c r="H112" s="14"/>
      <c r="I112" s="5"/>
      <c r="J112" s="5"/>
      <c r="K112" s="5"/>
      <c r="L112" s="5"/>
    </row>
    <row r="113" spans="2:12" s="1" customFormat="1">
      <c r="B113" s="17"/>
      <c r="C113" s="17"/>
      <c r="D113" s="14"/>
      <c r="E113" s="14"/>
      <c r="F113" s="14"/>
      <c r="G113" s="14"/>
      <c r="H113" s="14"/>
      <c r="I113" s="5"/>
      <c r="J113" s="5"/>
      <c r="K113" s="5"/>
      <c r="L113" s="5"/>
    </row>
    <row r="114" spans="2:12" s="1" customFormat="1">
      <c r="B114" s="17"/>
      <c r="C114" s="17"/>
      <c r="D114" s="14"/>
      <c r="E114" s="14"/>
      <c r="F114" s="14"/>
      <c r="G114" s="14"/>
      <c r="H114" s="14"/>
      <c r="I114" s="5"/>
      <c r="J114" s="5"/>
      <c r="K114" s="5"/>
      <c r="L114" s="5"/>
    </row>
    <row r="115" spans="2:12" s="1" customFormat="1">
      <c r="B115" s="17"/>
      <c r="C115" s="17"/>
      <c r="D115" s="14"/>
      <c r="E115" s="14"/>
      <c r="F115" s="14"/>
      <c r="G115" s="14"/>
      <c r="H115" s="14"/>
      <c r="I115" s="5"/>
      <c r="J115" s="5"/>
      <c r="K115" s="5"/>
      <c r="L115" s="5"/>
    </row>
    <row r="116" spans="2:12" s="1" customFormat="1">
      <c r="B116" s="17"/>
      <c r="C116" s="17"/>
      <c r="D116" s="14"/>
      <c r="E116" s="14"/>
      <c r="F116" s="14"/>
      <c r="G116" s="14"/>
      <c r="H116" s="14"/>
      <c r="I116" s="5"/>
      <c r="J116" s="5"/>
      <c r="K116" s="5"/>
      <c r="L116" s="5"/>
    </row>
    <row r="117" spans="2:12" s="1" customFormat="1">
      <c r="B117" s="17"/>
      <c r="C117" s="17"/>
      <c r="D117" s="14"/>
      <c r="E117" s="14"/>
      <c r="F117" s="14"/>
      <c r="G117" s="14"/>
      <c r="H117" s="14"/>
      <c r="I117" s="5"/>
      <c r="J117" s="5"/>
      <c r="K117" s="5"/>
      <c r="L117" s="5"/>
    </row>
    <row r="118" spans="2:12" s="1" customFormat="1">
      <c r="B118" s="17"/>
      <c r="C118" s="17"/>
      <c r="D118" s="14"/>
      <c r="E118" s="14"/>
      <c r="F118" s="14"/>
      <c r="G118" s="14"/>
      <c r="H118" s="14"/>
      <c r="I118" s="5"/>
      <c r="J118" s="5"/>
      <c r="K118" s="5"/>
      <c r="L118" s="5"/>
    </row>
    <row r="119" spans="2:12" s="1" customFormat="1">
      <c r="B119" s="17"/>
      <c r="C119" s="17"/>
      <c r="D119" s="14"/>
      <c r="E119" s="14"/>
      <c r="F119" s="14"/>
      <c r="G119" s="14"/>
      <c r="H119" s="14"/>
      <c r="I119" s="5"/>
      <c r="J119" s="5"/>
      <c r="K119" s="5"/>
      <c r="L119" s="5"/>
    </row>
    <row r="120" spans="2:12" s="1" customFormat="1">
      <c r="B120" s="17"/>
      <c r="C120" s="17"/>
      <c r="D120" s="14"/>
      <c r="E120" s="14"/>
      <c r="F120" s="14"/>
      <c r="G120" s="14"/>
      <c r="H120" s="14"/>
      <c r="I120" s="5"/>
      <c r="J120" s="5"/>
      <c r="K120" s="5"/>
      <c r="L120" s="5"/>
    </row>
    <row r="121" spans="2:12" s="1" customFormat="1">
      <c r="B121" s="17"/>
      <c r="C121" s="17"/>
      <c r="D121" s="14"/>
      <c r="E121" s="14"/>
      <c r="F121" s="14"/>
      <c r="G121" s="14"/>
      <c r="H121" s="14"/>
      <c r="I121" s="5"/>
      <c r="J121" s="5"/>
      <c r="K121" s="5"/>
      <c r="L121" s="5"/>
    </row>
    <row r="122" spans="2:12" s="1" customFormat="1">
      <c r="B122" s="17"/>
      <c r="C122" s="17"/>
      <c r="D122" s="14"/>
      <c r="E122" s="14"/>
      <c r="F122" s="14"/>
      <c r="G122" s="14"/>
      <c r="H122" s="14"/>
      <c r="I122" s="5"/>
      <c r="J122" s="5"/>
      <c r="K122" s="5"/>
      <c r="L122" s="5"/>
    </row>
    <row r="123" spans="2:12" s="1" customFormat="1">
      <c r="B123" s="17"/>
      <c r="C123" s="17"/>
      <c r="D123" s="14"/>
      <c r="E123" s="14"/>
      <c r="F123" s="14"/>
      <c r="G123" s="14"/>
      <c r="H123" s="14"/>
      <c r="I123" s="5"/>
      <c r="J123" s="5"/>
      <c r="K123" s="5"/>
      <c r="L123" s="5"/>
    </row>
    <row r="124" spans="2:12" s="1" customFormat="1">
      <c r="B124" s="17"/>
      <c r="C124" s="17"/>
      <c r="D124" s="14"/>
      <c r="E124" s="14"/>
      <c r="F124" s="14"/>
      <c r="G124" s="14"/>
      <c r="H124" s="14"/>
      <c r="I124" s="5"/>
      <c r="J124" s="5"/>
      <c r="K124" s="5"/>
      <c r="L124" s="5"/>
    </row>
    <row r="125" spans="2:12" s="1" customFormat="1">
      <c r="B125" s="17"/>
      <c r="C125" s="17"/>
      <c r="D125" s="14"/>
      <c r="E125" s="14"/>
      <c r="F125" s="14"/>
      <c r="G125" s="14"/>
      <c r="H125" s="14"/>
      <c r="I125" s="5"/>
      <c r="J125" s="5"/>
      <c r="K125" s="5"/>
      <c r="L125" s="5"/>
    </row>
    <row r="126" spans="2:12" s="1" customFormat="1">
      <c r="B126" s="17"/>
      <c r="C126" s="17"/>
      <c r="D126" s="14"/>
      <c r="E126" s="14"/>
      <c r="F126" s="14"/>
      <c r="G126" s="14"/>
      <c r="H126" s="14"/>
      <c r="I126" s="5"/>
      <c r="J126" s="5"/>
      <c r="K126" s="5"/>
      <c r="L126" s="5"/>
    </row>
    <row r="127" spans="2:12" s="1" customFormat="1">
      <c r="B127" s="17"/>
      <c r="C127" s="17"/>
      <c r="D127" s="14"/>
      <c r="E127" s="14"/>
      <c r="F127" s="14"/>
      <c r="G127" s="14"/>
      <c r="H127" s="14"/>
      <c r="I127" s="5"/>
      <c r="J127" s="5"/>
      <c r="K127" s="5"/>
      <c r="L127" s="5"/>
    </row>
    <row r="128" spans="2:12" s="1" customFormat="1">
      <c r="B128" s="17"/>
      <c r="C128" s="17"/>
      <c r="D128" s="14"/>
      <c r="E128" s="14"/>
      <c r="F128" s="14"/>
      <c r="G128" s="14"/>
      <c r="H128" s="14"/>
      <c r="I128" s="5"/>
      <c r="J128" s="5"/>
      <c r="K128" s="5"/>
      <c r="L128" s="5"/>
    </row>
    <row r="129" spans="2:12" s="1" customFormat="1">
      <c r="B129" s="17"/>
      <c r="C129" s="17"/>
      <c r="D129" s="14"/>
      <c r="E129" s="14"/>
      <c r="F129" s="14"/>
      <c r="G129" s="14"/>
      <c r="H129" s="14"/>
      <c r="I129" s="5"/>
      <c r="J129" s="5"/>
      <c r="K129" s="5"/>
      <c r="L129" s="5"/>
    </row>
    <row r="130" spans="2:12" s="1" customFormat="1">
      <c r="B130" s="17"/>
      <c r="C130" s="17"/>
      <c r="D130" s="14"/>
      <c r="E130" s="14"/>
      <c r="F130" s="14"/>
      <c r="G130" s="14"/>
      <c r="H130" s="14"/>
      <c r="I130" s="5"/>
      <c r="J130" s="5"/>
      <c r="K130" s="5"/>
      <c r="L130" s="5"/>
    </row>
    <row r="131" spans="2:12" s="1" customFormat="1">
      <c r="B131" s="17"/>
      <c r="C131" s="17"/>
      <c r="D131" s="14"/>
      <c r="E131" s="14"/>
      <c r="F131" s="14"/>
      <c r="G131" s="14"/>
      <c r="H131" s="14"/>
      <c r="I131" s="5"/>
      <c r="J131" s="5"/>
      <c r="K131" s="5"/>
      <c r="L131" s="5"/>
    </row>
    <row r="132" spans="2:12" s="1" customFormat="1">
      <c r="B132" s="17"/>
      <c r="C132" s="17"/>
      <c r="D132" s="14"/>
      <c r="E132" s="14"/>
      <c r="F132" s="14"/>
      <c r="G132" s="14"/>
      <c r="H132" s="14"/>
      <c r="I132" s="5"/>
      <c r="J132" s="5"/>
      <c r="K132" s="5"/>
      <c r="L132" s="5"/>
    </row>
    <row r="133" spans="2:12" s="1" customFormat="1">
      <c r="B133" s="17"/>
      <c r="C133" s="17"/>
      <c r="D133" s="14"/>
      <c r="E133" s="14"/>
      <c r="F133" s="14"/>
      <c r="G133" s="14"/>
      <c r="H133" s="14"/>
      <c r="I133" s="5"/>
      <c r="J133" s="5"/>
      <c r="K133" s="5"/>
      <c r="L133" s="5"/>
    </row>
    <row r="134" spans="2:12" s="1" customFormat="1">
      <c r="B134" s="17"/>
      <c r="C134" s="17"/>
      <c r="D134" s="14"/>
      <c r="E134" s="14"/>
      <c r="F134" s="14"/>
      <c r="G134" s="14"/>
      <c r="H134" s="14"/>
      <c r="I134" s="5"/>
      <c r="J134" s="5"/>
      <c r="K134" s="5"/>
      <c r="L134" s="5"/>
    </row>
    <row r="135" spans="2:12" s="1" customFormat="1">
      <c r="B135" s="17"/>
      <c r="C135" s="17"/>
      <c r="D135" s="14"/>
      <c r="E135" s="14"/>
      <c r="F135" s="14"/>
      <c r="G135" s="14"/>
      <c r="H135" s="14"/>
      <c r="I135" s="5"/>
      <c r="J135" s="5"/>
      <c r="K135" s="5"/>
      <c r="L135" s="5"/>
    </row>
    <row r="136" spans="2:12" s="1" customFormat="1">
      <c r="B136" s="17"/>
      <c r="C136" s="17"/>
      <c r="D136" s="14"/>
      <c r="E136" s="14"/>
      <c r="F136" s="14"/>
      <c r="G136" s="14"/>
      <c r="H136" s="14"/>
      <c r="I136" s="5"/>
      <c r="J136" s="5"/>
      <c r="K136" s="5"/>
      <c r="L136" s="5"/>
    </row>
    <row r="137" spans="2:12" s="1" customFormat="1">
      <c r="B137" s="17"/>
      <c r="C137" s="17"/>
      <c r="D137" s="14"/>
      <c r="E137" s="14"/>
      <c r="F137" s="14"/>
      <c r="G137" s="14"/>
      <c r="H137" s="14"/>
      <c r="I137" s="5"/>
      <c r="J137" s="5"/>
      <c r="K137" s="5"/>
      <c r="L137" s="5"/>
    </row>
    <row r="138" spans="2:12" s="1" customFormat="1">
      <c r="B138" s="17"/>
      <c r="C138" s="17"/>
      <c r="D138" s="14"/>
      <c r="E138" s="14"/>
      <c r="F138" s="14"/>
      <c r="G138" s="14"/>
      <c r="H138" s="14"/>
      <c r="I138" s="5"/>
      <c r="J138" s="5"/>
      <c r="K138" s="5"/>
      <c r="L138" s="5"/>
    </row>
    <row r="139" spans="2:12" s="1" customFormat="1">
      <c r="B139" s="17"/>
      <c r="C139" s="17"/>
      <c r="D139" s="14"/>
      <c r="E139" s="14"/>
      <c r="F139" s="14"/>
      <c r="G139" s="14"/>
      <c r="H139" s="14"/>
      <c r="I139" s="5"/>
      <c r="J139" s="5"/>
      <c r="K139" s="5"/>
      <c r="L139" s="5"/>
    </row>
    <row r="140" spans="2:12" s="1" customFormat="1">
      <c r="B140" s="17"/>
      <c r="C140" s="17"/>
      <c r="D140" s="14"/>
      <c r="E140" s="14"/>
      <c r="F140" s="14"/>
      <c r="G140" s="14"/>
      <c r="H140" s="14"/>
      <c r="I140" s="5"/>
      <c r="J140" s="5"/>
      <c r="K140" s="5"/>
      <c r="L140" s="5"/>
    </row>
    <row r="141" spans="2:12" s="1" customFormat="1">
      <c r="B141" s="17"/>
      <c r="C141" s="17"/>
      <c r="D141" s="14"/>
      <c r="E141" s="14"/>
      <c r="F141" s="14"/>
      <c r="G141" s="14"/>
      <c r="H141" s="14"/>
      <c r="I141" s="5"/>
      <c r="J141" s="5"/>
      <c r="K141" s="5"/>
      <c r="L141" s="5"/>
    </row>
    <row r="142" spans="2:12" s="14" customFormat="1">
      <c r="B142" s="17"/>
      <c r="C142" s="17"/>
      <c r="I142" s="5"/>
      <c r="J142" s="5"/>
      <c r="K142" s="5"/>
      <c r="L142" s="5"/>
    </row>
    <row r="143" spans="2:12" s="14" customFormat="1">
      <c r="B143" s="17"/>
      <c r="C143" s="17"/>
      <c r="I143" s="5"/>
      <c r="J143" s="5"/>
      <c r="K143" s="5"/>
      <c r="L143" s="5"/>
    </row>
    <row r="144" spans="2:12" s="14" customFormat="1">
      <c r="B144" s="17"/>
      <c r="C144" s="17"/>
      <c r="I144" s="5"/>
      <c r="J144" s="5"/>
      <c r="K144" s="5"/>
      <c r="L144" s="5"/>
    </row>
    <row r="145" spans="2:12" s="14" customFormat="1">
      <c r="B145" s="17"/>
      <c r="C145" s="17"/>
      <c r="I145" s="5"/>
      <c r="J145" s="5"/>
      <c r="K145" s="5"/>
      <c r="L145" s="5"/>
    </row>
    <row r="146" spans="2:12" s="14" customFormat="1">
      <c r="B146" s="17"/>
      <c r="C146" s="17"/>
      <c r="I146" s="5"/>
      <c r="J146" s="5"/>
      <c r="K146" s="5"/>
      <c r="L146" s="5"/>
    </row>
    <row r="147" spans="2:12" s="14" customFormat="1">
      <c r="B147" s="17"/>
      <c r="C147" s="17"/>
      <c r="I147" s="5"/>
      <c r="J147" s="5"/>
      <c r="K147" s="5"/>
      <c r="L147" s="5"/>
    </row>
    <row r="148" spans="2:12" s="14" customFormat="1">
      <c r="B148" s="17"/>
      <c r="C148" s="17"/>
      <c r="I148" s="5"/>
      <c r="J148" s="5"/>
      <c r="K148" s="5"/>
      <c r="L148" s="5"/>
    </row>
    <row r="149" spans="2:12" s="14" customFormat="1">
      <c r="B149" s="17"/>
      <c r="C149" s="17"/>
      <c r="I149" s="5"/>
      <c r="J149" s="5"/>
      <c r="K149" s="5"/>
      <c r="L149" s="5"/>
    </row>
    <row r="150" spans="2:12" s="14" customFormat="1">
      <c r="B150" s="17"/>
      <c r="C150" s="17"/>
      <c r="I150" s="5"/>
      <c r="J150" s="5"/>
      <c r="K150" s="5"/>
      <c r="L150" s="5"/>
    </row>
    <row r="151" spans="2:12" s="14" customFormat="1">
      <c r="B151" s="17"/>
      <c r="C151" s="17"/>
      <c r="I151" s="5"/>
      <c r="J151" s="5"/>
      <c r="K151" s="5"/>
      <c r="L151" s="5"/>
    </row>
    <row r="152" spans="2:12" s="14" customFormat="1">
      <c r="B152" s="17"/>
      <c r="C152" s="17"/>
      <c r="I152" s="5"/>
      <c r="J152" s="5"/>
      <c r="K152" s="5"/>
      <c r="L152" s="5"/>
    </row>
    <row r="153" spans="2:12" s="14" customFormat="1">
      <c r="B153" s="17"/>
      <c r="C153" s="17"/>
      <c r="I153" s="5"/>
      <c r="J153" s="5"/>
      <c r="K153" s="5"/>
      <c r="L153" s="5"/>
    </row>
    <row r="154" spans="2:12" s="14" customFormat="1">
      <c r="B154" s="17"/>
      <c r="C154" s="17"/>
      <c r="I154" s="5"/>
      <c r="J154" s="5"/>
      <c r="K154" s="5"/>
      <c r="L154" s="5"/>
    </row>
    <row r="155" spans="2:12" s="1" customFormat="1">
      <c r="B155" s="17"/>
      <c r="C155" s="17"/>
      <c r="D155" s="14"/>
      <c r="E155" s="14"/>
      <c r="F155" s="14"/>
      <c r="G155" s="14"/>
      <c r="H155" s="14"/>
      <c r="I155" s="5"/>
      <c r="J155" s="5"/>
      <c r="K155" s="5"/>
      <c r="L155" s="5"/>
    </row>
    <row r="156" spans="2:12" s="1" customFormat="1">
      <c r="B156" s="17"/>
      <c r="C156" s="17"/>
      <c r="D156" s="14"/>
      <c r="E156" s="14"/>
      <c r="F156" s="14"/>
      <c r="G156" s="14"/>
      <c r="H156" s="14"/>
      <c r="I156" s="5"/>
      <c r="J156" s="5"/>
      <c r="K156" s="5"/>
      <c r="L156" s="5"/>
    </row>
    <row r="157" spans="2:12" s="1" customFormat="1">
      <c r="B157" s="17"/>
      <c r="C157" s="17"/>
      <c r="D157" s="14"/>
      <c r="E157" s="14"/>
      <c r="F157" s="14"/>
      <c r="G157" s="14"/>
      <c r="H157" s="14"/>
      <c r="I157" s="5"/>
      <c r="J157" s="5"/>
      <c r="K157" s="5"/>
      <c r="L157" s="5"/>
    </row>
    <row r="158" spans="2:12" s="1" customFormat="1">
      <c r="B158" s="17"/>
      <c r="C158" s="17"/>
      <c r="D158" s="14"/>
      <c r="E158" s="14"/>
      <c r="F158" s="14"/>
      <c r="G158" s="14"/>
      <c r="H158" s="14"/>
      <c r="I158" s="5"/>
      <c r="J158" s="5"/>
      <c r="K158" s="5"/>
      <c r="L158" s="5"/>
    </row>
    <row r="159" spans="2:12" s="1" customFormat="1">
      <c r="B159" s="17"/>
      <c r="C159" s="17"/>
      <c r="D159" s="14"/>
      <c r="E159" s="14"/>
      <c r="F159" s="14"/>
      <c r="G159" s="14"/>
      <c r="H159" s="14"/>
      <c r="I159" s="5"/>
      <c r="J159" s="5"/>
      <c r="K159" s="5"/>
      <c r="L159" s="5"/>
    </row>
    <row r="160" spans="2:12" s="1" customFormat="1">
      <c r="B160" s="17"/>
      <c r="C160" s="17"/>
      <c r="D160" s="14"/>
      <c r="E160" s="14"/>
      <c r="F160" s="14"/>
      <c r="G160" s="14"/>
      <c r="H160" s="14"/>
      <c r="I160" s="5"/>
      <c r="J160" s="5"/>
      <c r="K160" s="5"/>
      <c r="L160" s="5"/>
    </row>
    <row r="161" spans="2:12" s="1" customFormat="1">
      <c r="B161" s="17"/>
      <c r="C161" s="17"/>
      <c r="D161" s="14"/>
      <c r="E161" s="14"/>
      <c r="F161" s="14"/>
      <c r="G161" s="14"/>
      <c r="H161" s="14"/>
      <c r="I161" s="5"/>
      <c r="J161" s="5"/>
      <c r="K161" s="5"/>
      <c r="L161" s="5"/>
    </row>
    <row r="162" spans="2:12" s="1" customFormat="1">
      <c r="B162" s="17"/>
      <c r="C162" s="17"/>
      <c r="D162" s="14"/>
      <c r="E162" s="14"/>
      <c r="F162" s="14"/>
      <c r="G162" s="14"/>
      <c r="H162" s="14"/>
      <c r="I162" s="5"/>
      <c r="J162" s="5"/>
      <c r="K162" s="5"/>
      <c r="L162" s="5"/>
    </row>
    <row r="163" spans="2:12" s="1" customFormat="1">
      <c r="B163" s="17"/>
      <c r="C163" s="17"/>
      <c r="D163" s="14"/>
      <c r="E163" s="14"/>
      <c r="F163" s="14"/>
      <c r="G163" s="14"/>
      <c r="H163" s="14"/>
      <c r="I163" s="5"/>
      <c r="J163" s="5"/>
      <c r="K163" s="5"/>
      <c r="L163" s="5"/>
    </row>
    <row r="164" spans="2:12" s="1" customFormat="1">
      <c r="B164" s="17"/>
      <c r="C164" s="17"/>
      <c r="D164" s="14"/>
      <c r="E164" s="14"/>
      <c r="F164" s="14"/>
      <c r="G164" s="14"/>
      <c r="H164" s="14"/>
      <c r="I164" s="5"/>
      <c r="J164" s="5"/>
      <c r="K164" s="5"/>
      <c r="L164" s="5"/>
    </row>
    <row r="165" spans="2:12" s="1" customFormat="1">
      <c r="B165" s="17"/>
      <c r="C165" s="17"/>
      <c r="D165" s="14"/>
      <c r="E165" s="14"/>
      <c r="F165" s="14"/>
      <c r="G165" s="14"/>
      <c r="H165" s="14"/>
      <c r="I165" s="5"/>
      <c r="J165" s="5"/>
      <c r="K165" s="5"/>
      <c r="L165" s="5"/>
    </row>
    <row r="166" spans="2:12" s="1" customFormat="1">
      <c r="B166" s="17"/>
      <c r="C166" s="17"/>
      <c r="D166" s="14"/>
      <c r="E166" s="14"/>
      <c r="F166" s="14"/>
      <c r="G166" s="14"/>
      <c r="H166" s="14"/>
      <c r="I166" s="5"/>
      <c r="J166" s="5"/>
      <c r="K166" s="5"/>
      <c r="L166" s="5"/>
    </row>
    <row r="180" spans="2:12" s="1" customFormat="1" ht="21">
      <c r="B180" s="13"/>
      <c r="C180" s="13"/>
      <c r="D180" s="14"/>
      <c r="E180" s="14"/>
      <c r="F180" s="14"/>
      <c r="G180" s="14"/>
      <c r="H180" s="14"/>
      <c r="I180" s="5"/>
      <c r="J180" s="5"/>
      <c r="K180" s="5"/>
      <c r="L180" s="5"/>
    </row>
    <row r="181" spans="2:12" s="1" customFormat="1">
      <c r="B181" s="15"/>
      <c r="C181" s="15"/>
      <c r="D181" s="16"/>
      <c r="E181" s="16"/>
      <c r="F181" s="16"/>
      <c r="G181" s="16"/>
      <c r="H181" s="16"/>
      <c r="I181" s="5"/>
      <c r="J181" s="5"/>
      <c r="K181" s="5"/>
      <c r="L181" s="6"/>
    </row>
    <row r="182" spans="2:12" s="1" customFormat="1">
      <c r="B182" s="17"/>
      <c r="C182" s="17"/>
      <c r="D182" s="14"/>
      <c r="E182" s="14"/>
      <c r="F182" s="14"/>
      <c r="G182" s="14"/>
      <c r="H182" s="14"/>
      <c r="I182" s="5"/>
      <c r="J182" s="5"/>
      <c r="K182" s="5"/>
      <c r="L182" s="5"/>
    </row>
    <row r="183" spans="2:12" s="1" customFormat="1">
      <c r="B183" s="17"/>
      <c r="C183" s="17"/>
      <c r="D183" s="14"/>
      <c r="E183" s="14"/>
      <c r="F183" s="14"/>
      <c r="G183" s="14"/>
      <c r="H183" s="14"/>
      <c r="I183" s="5"/>
      <c r="J183" s="5"/>
      <c r="K183" s="5"/>
      <c r="L183" s="5"/>
    </row>
    <row r="184" spans="2:12" s="1" customFormat="1">
      <c r="B184" s="17"/>
      <c r="C184" s="17"/>
      <c r="D184" s="14"/>
      <c r="E184" s="14"/>
      <c r="F184" s="14"/>
      <c r="G184" s="14"/>
      <c r="H184" s="14"/>
      <c r="I184" s="5"/>
      <c r="J184" s="5"/>
      <c r="K184" s="5"/>
      <c r="L184" s="5"/>
    </row>
    <row r="185" spans="2:12" s="1" customFormat="1">
      <c r="B185" s="17"/>
      <c r="C185" s="17"/>
      <c r="D185" s="14"/>
      <c r="E185" s="14"/>
      <c r="F185" s="14"/>
      <c r="G185" s="14"/>
      <c r="H185" s="14"/>
      <c r="I185" s="5"/>
      <c r="J185" s="5"/>
      <c r="K185" s="5"/>
      <c r="L185" s="5"/>
    </row>
    <row r="186" spans="2:12" s="1" customFormat="1">
      <c r="B186" s="17"/>
      <c r="C186" s="17"/>
      <c r="D186" s="14"/>
      <c r="E186" s="14"/>
      <c r="F186" s="14"/>
      <c r="G186" s="14"/>
      <c r="H186" s="14"/>
      <c r="I186" s="5"/>
      <c r="J186" s="5"/>
      <c r="K186" s="5"/>
      <c r="L186" s="5"/>
    </row>
    <row r="187" spans="2:12" s="1" customFormat="1">
      <c r="B187" s="17"/>
      <c r="C187" s="17"/>
      <c r="D187" s="14"/>
      <c r="E187" s="14"/>
      <c r="F187" s="14"/>
      <c r="G187" s="14"/>
      <c r="H187" s="14"/>
      <c r="I187" s="5"/>
      <c r="J187" s="5"/>
      <c r="K187" s="5"/>
      <c r="L187" s="5"/>
    </row>
    <row r="188" spans="2:12" s="1" customFormat="1">
      <c r="B188" s="17"/>
      <c r="C188" s="17"/>
      <c r="D188" s="14"/>
      <c r="E188" s="14"/>
      <c r="F188" s="14"/>
      <c r="G188" s="14"/>
      <c r="H188" s="14"/>
      <c r="I188" s="5"/>
      <c r="J188" s="5"/>
      <c r="K188" s="5"/>
      <c r="L188" s="5"/>
    </row>
    <row r="189" spans="2:12" s="14" customFormat="1">
      <c r="B189" s="17"/>
      <c r="C189" s="17"/>
      <c r="I189" s="5"/>
      <c r="J189" s="5"/>
      <c r="K189" s="5"/>
      <c r="L189" s="5"/>
    </row>
    <row r="190" spans="2:12" s="14" customFormat="1">
      <c r="B190" s="17"/>
      <c r="C190" s="17"/>
      <c r="I190" s="5"/>
      <c r="J190" s="5"/>
      <c r="K190" s="5"/>
      <c r="L190" s="5"/>
    </row>
    <row r="191" spans="2:12" s="14" customFormat="1">
      <c r="B191" s="17"/>
      <c r="C191" s="17"/>
      <c r="I191" s="5"/>
      <c r="J191" s="5"/>
      <c r="K191" s="5"/>
      <c r="L191" s="5"/>
    </row>
    <row r="192" spans="2:12" s="14" customFormat="1">
      <c r="B192" s="17"/>
      <c r="C192" s="17"/>
      <c r="I192" s="5"/>
      <c r="J192" s="5"/>
      <c r="K192" s="5"/>
      <c r="L192" s="5"/>
    </row>
    <row r="193" spans="2:12" s="14" customFormat="1">
      <c r="B193" s="17"/>
      <c r="C193" s="17"/>
      <c r="I193" s="5"/>
      <c r="J193" s="5"/>
      <c r="K193" s="5"/>
      <c r="L193" s="5"/>
    </row>
    <row r="194" spans="2:12" s="14" customFormat="1">
      <c r="B194" s="17"/>
      <c r="C194" s="17"/>
      <c r="I194" s="5"/>
      <c r="J194" s="5"/>
      <c r="K194" s="5"/>
      <c r="L194" s="5"/>
    </row>
    <row r="195" spans="2:12" s="14" customFormat="1">
      <c r="B195" s="17"/>
      <c r="C195" s="17"/>
      <c r="I195" s="5"/>
      <c r="J195" s="5"/>
      <c r="K195" s="5"/>
      <c r="L195" s="5"/>
    </row>
    <row r="196" spans="2:12" s="14" customFormat="1">
      <c r="B196" s="17"/>
      <c r="C196" s="17"/>
      <c r="I196" s="5"/>
      <c r="J196" s="5"/>
      <c r="K196" s="5"/>
      <c r="L196" s="5"/>
    </row>
    <row r="197" spans="2:12" s="14" customFormat="1">
      <c r="I197" s="5"/>
      <c r="J197" s="5"/>
      <c r="K197" s="5"/>
      <c r="L197" s="5"/>
    </row>
    <row r="198" spans="2:12" s="14" customFormat="1">
      <c r="I198" s="5"/>
      <c r="J198" s="5"/>
      <c r="K198" s="5"/>
      <c r="L198" s="5"/>
    </row>
    <row r="199" spans="2:12" s="14" customFormat="1">
      <c r="I199" s="5"/>
      <c r="J199" s="5"/>
      <c r="K199" s="5"/>
      <c r="L199" s="5"/>
    </row>
    <row r="200" spans="2:12" s="14" customFormat="1">
      <c r="I200" s="5"/>
      <c r="J200" s="5"/>
      <c r="K200" s="5"/>
      <c r="L200" s="5"/>
    </row>
    <row r="201" spans="2:12" s="14" customFormat="1">
      <c r="I201" s="5"/>
      <c r="J201" s="5"/>
      <c r="K201" s="5"/>
      <c r="L201" s="5"/>
    </row>
    <row r="202" spans="2:12" s="14" customFormat="1">
      <c r="I202" s="5"/>
      <c r="J202" s="5"/>
      <c r="K202" s="5"/>
      <c r="L202" s="5"/>
    </row>
    <row r="203" spans="2:12" s="14" customFormat="1">
      <c r="I203" s="5"/>
      <c r="J203" s="5"/>
      <c r="K203" s="5"/>
      <c r="L203" s="5"/>
    </row>
    <row r="204" spans="2:12" s="14" customFormat="1">
      <c r="I204" s="5"/>
      <c r="J204" s="5"/>
      <c r="K204" s="5"/>
      <c r="L204" s="5"/>
    </row>
    <row r="205" spans="2:12" s="14" customFormat="1">
      <c r="I205" s="5"/>
      <c r="J205" s="5"/>
      <c r="K205" s="5"/>
      <c r="L205" s="5"/>
    </row>
    <row r="206" spans="2:12" s="14" customFormat="1">
      <c r="I206" s="5"/>
      <c r="J206" s="5"/>
      <c r="K206" s="5"/>
      <c r="L206" s="5"/>
    </row>
    <row r="207" spans="2:12" s="14" customFormat="1">
      <c r="I207" s="5"/>
      <c r="J207" s="5"/>
      <c r="K207" s="5"/>
      <c r="L207" s="5"/>
    </row>
    <row r="208" spans="2:12" s="14" customFormat="1">
      <c r="I208" s="5"/>
      <c r="J208" s="5"/>
      <c r="K208" s="5"/>
      <c r="L208" s="5"/>
    </row>
    <row r="209" spans="9:12" s="14" customFormat="1">
      <c r="I209" s="5"/>
      <c r="J209" s="5"/>
      <c r="K209" s="5"/>
      <c r="L209" s="5"/>
    </row>
    <row r="210" spans="9:12" s="14" customFormat="1">
      <c r="I210" s="5"/>
      <c r="J210" s="5"/>
      <c r="K210" s="5"/>
      <c r="L210" s="5"/>
    </row>
    <row r="211" spans="9:12" s="14" customFormat="1">
      <c r="I211" s="5"/>
      <c r="J211" s="5"/>
      <c r="K211" s="5"/>
      <c r="L211" s="5"/>
    </row>
    <row r="212" spans="9:12" s="14" customFormat="1">
      <c r="I212" s="5"/>
      <c r="J212" s="5"/>
      <c r="K212" s="5"/>
      <c r="L212" s="5"/>
    </row>
    <row r="213" spans="9:12" s="14" customFormat="1">
      <c r="I213" s="5"/>
      <c r="J213" s="5"/>
      <c r="K213" s="5"/>
      <c r="L213" s="5"/>
    </row>
    <row r="214" spans="9:12" s="14" customFormat="1">
      <c r="I214" s="5"/>
      <c r="J214" s="5"/>
      <c r="K214" s="5"/>
      <c r="L214" s="5"/>
    </row>
    <row r="215" spans="9:12" s="14" customFormat="1">
      <c r="I215" s="5"/>
      <c r="J215" s="5"/>
      <c r="K215" s="5"/>
      <c r="L215" s="5"/>
    </row>
    <row r="216" spans="9:12" s="14" customFormat="1">
      <c r="I216" s="5"/>
      <c r="J216" s="5"/>
      <c r="K216" s="5"/>
      <c r="L216" s="5"/>
    </row>
    <row r="217" spans="9:12" s="14" customFormat="1">
      <c r="I217" s="5"/>
      <c r="J217" s="5"/>
      <c r="K217" s="5"/>
      <c r="L217" s="5"/>
    </row>
    <row r="218" spans="9:12" s="14" customFormat="1">
      <c r="I218" s="5"/>
      <c r="J218" s="5"/>
      <c r="K218" s="5"/>
      <c r="L218" s="5"/>
    </row>
    <row r="219" spans="9:12" s="14" customFormat="1">
      <c r="I219" s="5"/>
      <c r="J219" s="5"/>
      <c r="K219" s="5"/>
      <c r="L219" s="5"/>
    </row>
    <row r="220" spans="9:12" s="14" customFormat="1">
      <c r="I220" s="5"/>
      <c r="J220" s="5"/>
      <c r="K220" s="5"/>
      <c r="L220" s="5"/>
    </row>
    <row r="221" spans="9:12" s="14" customFormat="1">
      <c r="I221" s="5"/>
      <c r="J221" s="5"/>
      <c r="K221" s="5"/>
      <c r="L221" s="5"/>
    </row>
    <row r="222" spans="9:12" s="14" customFormat="1">
      <c r="I222" s="5"/>
      <c r="J222" s="5"/>
      <c r="K222" s="5"/>
      <c r="L222" s="5"/>
    </row>
    <row r="223" spans="9:12" s="14" customFormat="1">
      <c r="I223" s="5"/>
      <c r="J223" s="5"/>
      <c r="K223" s="5"/>
      <c r="L223" s="5"/>
    </row>
    <row r="224" spans="9:12" s="14" customFormat="1">
      <c r="I224" s="5"/>
      <c r="J224" s="5"/>
      <c r="K224" s="5"/>
      <c r="L224" s="5"/>
    </row>
    <row r="225" spans="2:12" s="14" customFormat="1">
      <c r="I225" s="5"/>
      <c r="J225" s="5"/>
      <c r="K225" s="5"/>
      <c r="L225" s="5"/>
    </row>
    <row r="226" spans="2:12" s="14" customFormat="1">
      <c r="I226" s="5"/>
      <c r="J226" s="5"/>
      <c r="K226" s="5"/>
      <c r="L226" s="5"/>
    </row>
    <row r="227" spans="2:12" s="2" customFormat="1">
      <c r="B227" s="18"/>
      <c r="C227" s="18"/>
      <c r="D227" s="19"/>
      <c r="E227" s="19"/>
      <c r="F227" s="19"/>
      <c r="G227" s="19"/>
      <c r="H227" s="19"/>
      <c r="I227" s="5"/>
      <c r="J227" s="5"/>
      <c r="K227" s="5"/>
      <c r="L227" s="7"/>
    </row>
    <row r="228" spans="2:12" s="2" customFormat="1">
      <c r="B228" s="18"/>
      <c r="C228" s="18"/>
      <c r="D228" s="19"/>
      <c r="E228" s="19"/>
      <c r="F228" s="19"/>
      <c r="G228" s="19"/>
      <c r="H228" s="19"/>
      <c r="I228" s="5"/>
      <c r="J228" s="5"/>
      <c r="K228" s="5"/>
      <c r="L228" s="7"/>
    </row>
    <row r="229" spans="2:12" s="2" customFormat="1">
      <c r="B229" s="18"/>
      <c r="C229" s="18"/>
      <c r="D229" s="19"/>
      <c r="E229" s="19"/>
      <c r="F229" s="19"/>
      <c r="G229" s="19"/>
      <c r="H229" s="19"/>
      <c r="I229" s="5"/>
      <c r="J229" s="5"/>
      <c r="K229" s="5"/>
      <c r="L229" s="7"/>
    </row>
    <row r="230" spans="2:12" s="2" customFormat="1">
      <c r="B230" s="18"/>
      <c r="C230" s="18"/>
      <c r="D230" s="19"/>
      <c r="E230" s="19"/>
      <c r="F230" s="19"/>
      <c r="G230" s="19"/>
      <c r="H230" s="19"/>
      <c r="I230" s="5"/>
      <c r="J230" s="5"/>
      <c r="K230" s="5"/>
      <c r="L230" s="7"/>
    </row>
    <row r="231" spans="2:12" s="2" customFormat="1">
      <c r="B231" s="18"/>
      <c r="C231" s="18"/>
      <c r="D231" s="19"/>
      <c r="E231" s="19"/>
      <c r="F231" s="19"/>
      <c r="G231" s="19"/>
      <c r="H231" s="19"/>
      <c r="I231" s="5"/>
      <c r="J231" s="5"/>
      <c r="K231" s="5"/>
      <c r="L231" s="7"/>
    </row>
    <row r="232" spans="2:12" s="2" customFormat="1">
      <c r="B232" s="18"/>
      <c r="C232" s="18"/>
      <c r="D232" s="19"/>
      <c r="E232" s="19"/>
      <c r="F232" s="19"/>
      <c r="G232" s="19"/>
      <c r="H232" s="19"/>
      <c r="I232" s="5"/>
      <c r="J232" s="5"/>
      <c r="K232" s="5"/>
      <c r="L232" s="7"/>
    </row>
    <row r="233" spans="2:12" s="2" customFormat="1">
      <c r="B233" s="18"/>
      <c r="C233" s="18"/>
      <c r="D233" s="19"/>
      <c r="E233" s="19"/>
      <c r="F233" s="19"/>
      <c r="G233" s="19"/>
      <c r="H233" s="19"/>
      <c r="I233" s="5"/>
      <c r="J233" s="5"/>
      <c r="K233" s="5"/>
      <c r="L233" s="7"/>
    </row>
    <row r="234" spans="2:12" s="2" customFormat="1">
      <c r="B234" s="18"/>
      <c r="C234" s="18"/>
      <c r="D234" s="19"/>
      <c r="E234" s="19"/>
      <c r="F234" s="19"/>
      <c r="G234" s="19"/>
      <c r="H234" s="19"/>
      <c r="I234" s="5"/>
      <c r="J234" s="5"/>
      <c r="K234" s="5"/>
      <c r="L234" s="7"/>
    </row>
    <row r="235" spans="2:12" s="2" customFormat="1">
      <c r="B235" s="18"/>
      <c r="C235" s="18"/>
      <c r="D235" s="19"/>
      <c r="E235" s="19"/>
      <c r="F235" s="19"/>
      <c r="G235" s="19"/>
      <c r="H235" s="19"/>
      <c r="I235" s="5"/>
      <c r="J235" s="5"/>
      <c r="K235" s="5"/>
      <c r="L235" s="7"/>
    </row>
    <row r="236" spans="2:12" s="2" customFormat="1">
      <c r="B236" s="18"/>
      <c r="C236" s="18"/>
      <c r="D236" s="19"/>
      <c r="E236" s="19"/>
      <c r="F236" s="19"/>
      <c r="G236" s="19"/>
      <c r="H236" s="19"/>
      <c r="I236" s="5"/>
      <c r="J236" s="5"/>
      <c r="K236" s="5"/>
      <c r="L236" s="7"/>
    </row>
    <row r="237" spans="2:12" s="2" customFormat="1">
      <c r="B237" s="18"/>
      <c r="C237" s="18"/>
      <c r="D237" s="19"/>
      <c r="E237" s="19"/>
      <c r="F237" s="19"/>
      <c r="G237" s="19"/>
      <c r="H237" s="19"/>
      <c r="I237" s="5"/>
      <c r="J237" s="5"/>
      <c r="K237" s="5"/>
      <c r="L237" s="7"/>
    </row>
    <row r="238" spans="2:12" s="2" customFormat="1">
      <c r="B238" s="18"/>
      <c r="C238" s="18"/>
      <c r="D238" s="19"/>
      <c r="E238" s="19"/>
      <c r="F238" s="19"/>
      <c r="G238" s="19"/>
      <c r="H238" s="19"/>
      <c r="I238" s="5"/>
      <c r="J238" s="5"/>
      <c r="K238" s="5"/>
      <c r="L238" s="7"/>
    </row>
    <row r="239" spans="2:12" s="2" customFormat="1">
      <c r="B239" s="18"/>
      <c r="C239" s="18"/>
      <c r="D239" s="19"/>
      <c r="E239" s="19"/>
      <c r="F239" s="19"/>
      <c r="G239" s="19"/>
      <c r="H239" s="19"/>
      <c r="I239" s="5"/>
      <c r="J239" s="5"/>
      <c r="K239" s="5"/>
      <c r="L239" s="7"/>
    </row>
    <row r="240" spans="2:12" s="2" customFormat="1">
      <c r="B240" s="18"/>
      <c r="C240" s="18"/>
      <c r="D240" s="19"/>
      <c r="E240" s="19"/>
      <c r="F240" s="19"/>
      <c r="G240" s="19"/>
      <c r="H240" s="19"/>
      <c r="I240" s="5"/>
      <c r="J240" s="5"/>
      <c r="K240" s="5"/>
      <c r="L240" s="7"/>
    </row>
    <row r="241" spans="2:12" s="2" customFormat="1">
      <c r="B241" s="18"/>
      <c r="C241" s="18"/>
      <c r="D241" s="19"/>
      <c r="E241" s="19"/>
      <c r="F241" s="19"/>
      <c r="G241" s="19"/>
      <c r="H241" s="19"/>
      <c r="I241" s="5"/>
      <c r="J241" s="5"/>
      <c r="K241" s="5"/>
      <c r="L241" s="7"/>
    </row>
    <row r="242" spans="2:12" s="2" customFormat="1">
      <c r="B242" s="18"/>
      <c r="C242" s="18"/>
      <c r="D242" s="19"/>
      <c r="E242" s="19"/>
      <c r="F242" s="19"/>
      <c r="G242" s="19"/>
      <c r="H242" s="19"/>
      <c r="I242" s="5"/>
      <c r="J242" s="5"/>
      <c r="K242" s="5"/>
      <c r="L242" s="7"/>
    </row>
    <row r="243" spans="2:12" s="2" customFormat="1">
      <c r="B243" s="18"/>
      <c r="C243" s="18"/>
      <c r="D243" s="19"/>
      <c r="E243" s="19"/>
      <c r="F243" s="19"/>
      <c r="G243" s="19"/>
      <c r="H243" s="19"/>
      <c r="I243" s="5"/>
      <c r="J243" s="5"/>
      <c r="K243" s="5"/>
      <c r="L243" s="7"/>
    </row>
    <row r="244" spans="2:12" s="2" customFormat="1">
      <c r="B244" s="18"/>
      <c r="C244" s="18"/>
      <c r="D244" s="19"/>
      <c r="E244" s="19"/>
      <c r="F244" s="19"/>
      <c r="G244" s="19"/>
      <c r="H244" s="19"/>
      <c r="I244" s="5"/>
      <c r="J244" s="5"/>
      <c r="K244" s="5"/>
      <c r="L244" s="7"/>
    </row>
    <row r="245" spans="2:12" s="2" customFormat="1">
      <c r="B245" s="18"/>
      <c r="C245" s="18"/>
      <c r="D245" s="19"/>
      <c r="E245" s="19"/>
      <c r="F245" s="19"/>
      <c r="G245" s="19"/>
      <c r="H245" s="19"/>
      <c r="I245" s="5"/>
      <c r="J245" s="5"/>
      <c r="K245" s="5"/>
      <c r="L245" s="7"/>
    </row>
    <row r="246" spans="2:12" s="2" customFormat="1">
      <c r="B246" s="18"/>
      <c r="C246" s="18"/>
      <c r="D246" s="19"/>
      <c r="E246" s="19"/>
      <c r="F246" s="19"/>
      <c r="G246" s="19"/>
      <c r="H246" s="19"/>
      <c r="I246" s="5"/>
      <c r="J246" s="5"/>
      <c r="K246" s="5"/>
      <c r="L246" s="7"/>
    </row>
    <row r="247" spans="2:12" s="2" customFormat="1">
      <c r="B247" s="18"/>
      <c r="C247" s="18"/>
      <c r="D247" s="19"/>
      <c r="E247" s="19"/>
      <c r="F247" s="19"/>
      <c r="G247" s="19"/>
      <c r="H247" s="19"/>
      <c r="I247" s="5"/>
      <c r="J247" s="5"/>
      <c r="K247" s="5"/>
      <c r="L247" s="7"/>
    </row>
    <row r="248" spans="2:12" s="2" customFormat="1">
      <c r="B248" s="18"/>
      <c r="C248" s="18"/>
      <c r="D248" s="19"/>
      <c r="E248" s="19"/>
      <c r="F248" s="19"/>
      <c r="G248" s="19"/>
      <c r="H248" s="19"/>
      <c r="I248" s="5"/>
      <c r="J248" s="5"/>
      <c r="K248" s="5"/>
      <c r="L248" s="7"/>
    </row>
    <row r="249" spans="2:12" s="2" customFormat="1">
      <c r="B249" s="18"/>
      <c r="C249" s="18"/>
      <c r="D249" s="19"/>
      <c r="E249" s="19"/>
      <c r="F249" s="19"/>
      <c r="G249" s="19"/>
      <c r="H249" s="19"/>
      <c r="I249" s="5"/>
      <c r="J249" s="5"/>
      <c r="K249" s="5"/>
      <c r="L249" s="7"/>
    </row>
    <row r="250" spans="2:12" s="2" customFormat="1">
      <c r="B250" s="18"/>
      <c r="C250" s="18"/>
      <c r="D250" s="19"/>
      <c r="E250" s="19"/>
      <c r="F250" s="19"/>
      <c r="G250" s="19"/>
      <c r="H250" s="19"/>
      <c r="I250" s="5"/>
      <c r="J250" s="5"/>
      <c r="K250" s="5"/>
      <c r="L250" s="7"/>
    </row>
    <row r="251" spans="2:12" s="2" customFormat="1">
      <c r="B251" s="18"/>
      <c r="C251" s="18"/>
      <c r="D251" s="19"/>
      <c r="E251" s="19"/>
      <c r="F251" s="19"/>
      <c r="G251" s="19"/>
      <c r="H251" s="19"/>
      <c r="I251" s="5"/>
      <c r="J251" s="5"/>
      <c r="K251" s="5"/>
      <c r="L251" s="7"/>
    </row>
    <row r="252" spans="2:12" s="2" customFormat="1">
      <c r="B252" s="18"/>
      <c r="C252" s="18"/>
      <c r="D252" s="19"/>
      <c r="E252" s="19"/>
      <c r="F252" s="19"/>
      <c r="G252" s="19"/>
      <c r="H252" s="19"/>
      <c r="I252" s="5"/>
      <c r="J252" s="5"/>
      <c r="K252" s="5"/>
      <c r="L252" s="7"/>
    </row>
    <row r="253" spans="2:12" s="2" customFormat="1">
      <c r="B253" s="18"/>
      <c r="C253" s="18"/>
      <c r="D253" s="19"/>
      <c r="E253" s="19"/>
      <c r="F253" s="19"/>
      <c r="G253" s="19"/>
      <c r="H253" s="19"/>
      <c r="I253" s="5"/>
      <c r="J253" s="5"/>
      <c r="K253" s="5"/>
      <c r="L253" s="7"/>
    </row>
    <row r="254" spans="2:12" s="2" customFormat="1">
      <c r="B254" s="18"/>
      <c r="C254" s="18"/>
      <c r="D254" s="19"/>
      <c r="E254" s="19"/>
      <c r="F254" s="19"/>
      <c r="G254" s="19"/>
      <c r="H254" s="19"/>
      <c r="I254" s="5"/>
      <c r="J254" s="5"/>
      <c r="K254" s="5"/>
      <c r="L254" s="7"/>
    </row>
    <row r="255" spans="2:12" s="2" customFormat="1">
      <c r="B255" s="18"/>
      <c r="C255" s="18"/>
      <c r="D255" s="19"/>
      <c r="E255" s="19"/>
      <c r="F255" s="19"/>
      <c r="G255" s="19"/>
      <c r="H255" s="19"/>
      <c r="I255" s="5"/>
      <c r="J255" s="5"/>
      <c r="K255" s="5"/>
      <c r="L255" s="7"/>
    </row>
    <row r="256" spans="2:12" s="2" customFormat="1">
      <c r="B256" s="18"/>
      <c r="C256" s="18"/>
      <c r="D256" s="19"/>
      <c r="E256" s="19"/>
      <c r="F256" s="19"/>
      <c r="G256" s="19"/>
      <c r="H256" s="19"/>
      <c r="I256" s="5"/>
      <c r="J256" s="5"/>
      <c r="K256" s="5"/>
      <c r="L256" s="7"/>
    </row>
    <row r="257" spans="2:12" s="2" customFormat="1">
      <c r="B257" s="18"/>
      <c r="C257" s="18"/>
      <c r="D257" s="19"/>
      <c r="E257" s="19"/>
      <c r="F257" s="19"/>
      <c r="G257" s="19"/>
      <c r="H257" s="19"/>
      <c r="I257" s="5"/>
      <c r="J257" s="5"/>
      <c r="K257" s="5"/>
      <c r="L257" s="7"/>
    </row>
    <row r="258" spans="2:12" s="2" customFormat="1">
      <c r="B258" s="18"/>
      <c r="C258" s="18"/>
      <c r="D258" s="19"/>
      <c r="E258" s="19"/>
      <c r="F258" s="19"/>
      <c r="G258" s="19"/>
      <c r="H258" s="19"/>
      <c r="I258" s="5"/>
      <c r="J258" s="5"/>
      <c r="K258" s="5"/>
      <c r="L258" s="7"/>
    </row>
    <row r="259" spans="2:12" s="2" customFormat="1">
      <c r="B259" s="18"/>
      <c r="C259" s="18"/>
      <c r="D259" s="19"/>
      <c r="E259" s="19"/>
      <c r="F259" s="19"/>
      <c r="G259" s="19"/>
      <c r="H259" s="19"/>
      <c r="I259" s="5"/>
      <c r="J259" s="5"/>
      <c r="K259" s="5"/>
      <c r="L259" s="7"/>
    </row>
    <row r="260" spans="2:12" ht="21">
      <c r="B260" s="9"/>
      <c r="C260" s="9"/>
    </row>
    <row r="261" spans="2:12">
      <c r="B261" s="10"/>
      <c r="C261" s="10"/>
      <c r="E261" s="11"/>
      <c r="F261" s="11"/>
      <c r="G261" s="11"/>
      <c r="H261" s="11"/>
      <c r="L261" s="4"/>
    </row>
    <row r="262" spans="2:12">
      <c r="D262" s="11"/>
    </row>
    <row r="320" spans="2:3" ht="21">
      <c r="B320" s="9"/>
      <c r="C320" s="9"/>
    </row>
    <row r="321" spans="2:12">
      <c r="B321" s="10"/>
      <c r="C321" s="10"/>
      <c r="E321" s="11"/>
      <c r="F321" s="11"/>
      <c r="G321" s="11"/>
      <c r="H321" s="11"/>
      <c r="L321" s="4"/>
    </row>
    <row r="322" spans="2:12">
      <c r="D322" s="11"/>
    </row>
    <row r="380" spans="2:12" ht="21">
      <c r="B380" s="9"/>
      <c r="C380" s="9"/>
    </row>
    <row r="381" spans="2:12">
      <c r="B381" s="10"/>
      <c r="C381" s="10"/>
      <c r="E381" s="11"/>
      <c r="F381" s="11"/>
      <c r="G381" s="11"/>
      <c r="H381" s="11"/>
      <c r="L381" s="4"/>
    </row>
    <row r="382" spans="2:12">
      <c r="D382" s="11"/>
    </row>
    <row r="415" spans="2:12" ht="21">
      <c r="B415" s="9"/>
      <c r="C415" s="9"/>
    </row>
    <row r="416" spans="2:12">
      <c r="B416" s="10"/>
      <c r="C416" s="10"/>
      <c r="E416" s="11"/>
      <c r="F416" s="11"/>
      <c r="G416" s="11"/>
      <c r="H416" s="11"/>
      <c r="L416" s="4"/>
    </row>
    <row r="417" spans="4:4">
      <c r="D417" s="11"/>
    </row>
    <row r="467" spans="2:12" ht="21">
      <c r="B467" s="9"/>
      <c r="C467" s="9"/>
    </row>
    <row r="468" spans="2:12">
      <c r="B468" s="10"/>
      <c r="C468" s="10"/>
      <c r="E468" s="11"/>
      <c r="F468" s="11"/>
      <c r="G468" s="11"/>
      <c r="H468" s="11"/>
      <c r="L468" s="4"/>
    </row>
    <row r="469" spans="2:12">
      <c r="D469" s="11"/>
    </row>
    <row r="502" spans="2:12" ht="21">
      <c r="B502" s="9"/>
      <c r="C502" s="9"/>
    </row>
    <row r="503" spans="2:12">
      <c r="B503" s="10"/>
      <c r="C503" s="10"/>
      <c r="E503" s="11"/>
      <c r="F503" s="11"/>
      <c r="G503" s="11"/>
      <c r="H503" s="11"/>
      <c r="L503" s="4"/>
    </row>
    <row r="504" spans="2:12">
      <c r="D504" s="11"/>
    </row>
    <row r="568" spans="2:12" ht="21">
      <c r="B568" s="9"/>
      <c r="C568" s="9"/>
    </row>
    <row r="569" spans="2:12">
      <c r="B569" s="10"/>
      <c r="C569" s="10"/>
      <c r="E569" s="11"/>
      <c r="F569" s="11"/>
      <c r="G569" s="11"/>
      <c r="H569" s="11"/>
      <c r="L569" s="4"/>
    </row>
    <row r="570" spans="2:12">
      <c r="D570" s="11"/>
    </row>
    <row r="595" spans="2:4">
      <c r="B595" s="20"/>
      <c r="C595" s="20"/>
    </row>
    <row r="596" spans="2:4">
      <c r="D596" s="12"/>
    </row>
  </sheetData>
  <autoFilter ref="A3:L7" xr:uid="{00000000-0001-0000-0000-000000000000}">
    <sortState xmlns:xlrd2="http://schemas.microsoft.com/office/spreadsheetml/2017/richdata2" ref="A4:L10">
      <sortCondition ref="A3:A7"/>
    </sortState>
  </autoFilter>
  <pageMargins left="0.70866141732283472" right="0.70866141732283472" top="0.74803149606299213" bottom="0.74803149606299213" header="0.31496062992125984" footer="0.31496062992125984"/>
  <pageSetup scale="41" fitToHeight="3"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promptTitle="Type of BD Activity" prompt="Please select from the list" xr:uid="{30B5C94C-6E1F-4D8F-B847-C7C11D72D2AB}">
          <x14:formula1>
            <xm:f>'contact type'!$A$1:$A$9</xm:f>
          </x14:formula1>
          <xm:sqref>H4:H34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604"/>
  <sheetViews>
    <sheetView topLeftCell="D1" zoomScale="90" zoomScaleNormal="90" workbookViewId="0">
      <pane ySplit="3" topLeftCell="A17" activePane="bottomLeft" state="frozen"/>
      <selection pane="bottomLeft" activeCell="L4" sqref="L4"/>
    </sheetView>
  </sheetViews>
  <sheetFormatPr defaultRowHeight="15"/>
  <cols>
    <col min="1" max="1" width="5.7109375" customWidth="1"/>
    <col min="2" max="2" width="11.85546875" style="12" customWidth="1"/>
    <col min="3" max="3" width="20.7109375" style="12" customWidth="1"/>
    <col min="4" max="4" width="22.140625" style="3" customWidth="1"/>
    <col min="5" max="5" width="22.7109375" style="8" customWidth="1"/>
    <col min="6" max="6" width="31.7109375" style="3" customWidth="1"/>
    <col min="7" max="8" width="15.42578125" style="8" customWidth="1"/>
    <col min="9" max="9" width="16" style="8" customWidth="1"/>
    <col min="10" max="10" width="43.42578125" style="5" customWidth="1"/>
    <col min="11" max="11" width="24.140625" style="5" customWidth="1"/>
    <col min="12" max="12" width="24.42578125" style="5" customWidth="1"/>
    <col min="13" max="13" width="107.5703125" style="3" customWidth="1"/>
    <col min="14" max="14" width="32.85546875" customWidth="1"/>
    <col min="15" max="15" width="2.5703125" customWidth="1"/>
    <col min="17" max="17" width="13.85546875" bestFit="1" customWidth="1"/>
  </cols>
  <sheetData>
    <row r="1" spans="1:13" ht="26.25">
      <c r="A1" s="22" t="s">
        <v>157</v>
      </c>
    </row>
    <row r="2" spans="1:13" s="1" customFormat="1">
      <c r="D2" s="5"/>
      <c r="E2" s="14"/>
      <c r="F2" s="5"/>
      <c r="G2" s="14"/>
      <c r="H2" s="14"/>
      <c r="I2" s="14"/>
      <c r="J2" s="5"/>
      <c r="K2" s="32" t="s">
        <v>158</v>
      </c>
      <c r="L2" s="32" t="s">
        <v>158</v>
      </c>
      <c r="M2" s="5"/>
    </row>
    <row r="3" spans="1:13" s="27" customFormat="1">
      <c r="A3" s="29" t="s">
        <v>40</v>
      </c>
      <c r="B3" s="28" t="s">
        <v>41</v>
      </c>
      <c r="C3" s="28" t="s">
        <v>42</v>
      </c>
      <c r="D3" s="30" t="s">
        <v>43</v>
      </c>
      <c r="E3" s="29" t="s">
        <v>44</v>
      </c>
      <c r="F3" s="30" t="s">
        <v>45</v>
      </c>
      <c r="G3" s="29" t="s">
        <v>159</v>
      </c>
      <c r="H3" s="29" t="s">
        <v>160</v>
      </c>
      <c r="I3" s="29" t="s">
        <v>47</v>
      </c>
      <c r="J3" s="30" t="s">
        <v>48</v>
      </c>
      <c r="K3" s="50" t="s">
        <v>161</v>
      </c>
      <c r="L3" s="50" t="s">
        <v>162</v>
      </c>
      <c r="M3" s="27" t="s">
        <v>51</v>
      </c>
    </row>
    <row r="4" spans="1:13" s="1" customFormat="1" ht="60">
      <c r="A4" s="17">
        <v>1</v>
      </c>
      <c r="B4" s="23">
        <v>45976</v>
      </c>
      <c r="C4" s="23" t="s">
        <v>97</v>
      </c>
      <c r="D4" s="5" t="s">
        <v>163</v>
      </c>
      <c r="E4" s="14" t="s">
        <v>164</v>
      </c>
      <c r="F4" s="52" t="s">
        <v>165</v>
      </c>
      <c r="G4" s="8" t="s">
        <v>101</v>
      </c>
      <c r="H4" s="8" t="s">
        <v>102</v>
      </c>
      <c r="I4" s="14" t="s">
        <v>166</v>
      </c>
      <c r="J4" s="5" t="s">
        <v>167</v>
      </c>
      <c r="K4" s="25">
        <v>700000</v>
      </c>
      <c r="L4" s="25" t="s">
        <v>168</v>
      </c>
      <c r="M4" s="5" t="s">
        <v>169</v>
      </c>
    </row>
    <row r="5" spans="1:13" s="1" customFormat="1" ht="30">
      <c r="A5" s="17">
        <v>2</v>
      </c>
      <c r="B5" s="23">
        <v>46037</v>
      </c>
      <c r="C5" s="23" t="s">
        <v>97</v>
      </c>
      <c r="D5" s="5" t="s">
        <v>170</v>
      </c>
      <c r="E5" s="14" t="s">
        <v>171</v>
      </c>
      <c r="F5" s="52" t="s">
        <v>172</v>
      </c>
      <c r="G5" s="14" t="s">
        <v>101</v>
      </c>
      <c r="H5" s="14" t="s">
        <v>102</v>
      </c>
      <c r="I5" s="14" t="s">
        <v>57</v>
      </c>
      <c r="J5" s="5" t="s">
        <v>173</v>
      </c>
      <c r="K5" s="25"/>
      <c r="L5" s="25"/>
      <c r="M5" s="5" t="s">
        <v>174</v>
      </c>
    </row>
    <row r="6" spans="1:13" s="1" customFormat="1">
      <c r="A6" s="17">
        <v>3</v>
      </c>
      <c r="B6" s="23">
        <v>46043</v>
      </c>
      <c r="C6" s="23" t="s">
        <v>97</v>
      </c>
      <c r="D6" s="5" t="s">
        <v>170</v>
      </c>
      <c r="E6" s="14" t="s">
        <v>171</v>
      </c>
      <c r="F6" s="52" t="s">
        <v>172</v>
      </c>
      <c r="G6" s="14" t="s">
        <v>101</v>
      </c>
      <c r="H6" s="14" t="s">
        <v>102</v>
      </c>
      <c r="I6" s="14" t="s">
        <v>166</v>
      </c>
      <c r="J6" s="5" t="s">
        <v>175</v>
      </c>
      <c r="K6" s="25">
        <v>50000</v>
      </c>
      <c r="L6" s="25"/>
      <c r="M6" s="5" t="s">
        <v>176</v>
      </c>
    </row>
    <row r="7" spans="1:13" s="1" customFormat="1" ht="30">
      <c r="A7" s="17">
        <v>4</v>
      </c>
      <c r="B7" s="23">
        <v>46055</v>
      </c>
      <c r="C7" s="23" t="s">
        <v>97</v>
      </c>
      <c r="D7" s="5" t="s">
        <v>170</v>
      </c>
      <c r="E7" s="14" t="s">
        <v>171</v>
      </c>
      <c r="F7" s="52" t="s">
        <v>172</v>
      </c>
      <c r="G7" s="14" t="s">
        <v>101</v>
      </c>
      <c r="H7" s="14" t="s">
        <v>102</v>
      </c>
      <c r="I7" s="14" t="s">
        <v>166</v>
      </c>
      <c r="J7" s="5" t="s">
        <v>177</v>
      </c>
      <c r="K7" s="25">
        <v>95000</v>
      </c>
      <c r="L7" s="25" t="s">
        <v>168</v>
      </c>
      <c r="M7" s="5" t="s">
        <v>178</v>
      </c>
    </row>
    <row r="8" spans="1:13" s="1" customFormat="1" ht="30">
      <c r="A8" s="17">
        <v>5</v>
      </c>
      <c r="B8" s="23">
        <v>46055</v>
      </c>
      <c r="C8" s="23" t="s">
        <v>179</v>
      </c>
      <c r="D8" s="5" t="s">
        <v>180</v>
      </c>
      <c r="E8" s="14" t="s">
        <v>181</v>
      </c>
      <c r="F8" s="52" t="s">
        <v>182</v>
      </c>
      <c r="G8" s="14" t="s">
        <v>183</v>
      </c>
      <c r="H8" s="14" t="s">
        <v>184</v>
      </c>
      <c r="I8" s="14" t="s">
        <v>166</v>
      </c>
      <c r="J8" s="5" t="s">
        <v>185</v>
      </c>
      <c r="K8" s="25">
        <v>200000</v>
      </c>
      <c r="L8" s="25"/>
      <c r="M8" s="5" t="s">
        <v>186</v>
      </c>
    </row>
    <row r="9" spans="1:13" s="1" customFormat="1" ht="30">
      <c r="A9" s="17">
        <v>6</v>
      </c>
      <c r="B9" s="23">
        <v>46055</v>
      </c>
      <c r="C9" s="23" t="s">
        <v>179</v>
      </c>
      <c r="D9" s="5" t="s">
        <v>180</v>
      </c>
      <c r="E9" s="14" t="s">
        <v>181</v>
      </c>
      <c r="F9" s="52" t="s">
        <v>182</v>
      </c>
      <c r="G9" s="14" t="s">
        <v>183</v>
      </c>
      <c r="H9" s="14" t="s">
        <v>184</v>
      </c>
      <c r="I9" s="14" t="s">
        <v>166</v>
      </c>
      <c r="J9" s="5" t="s">
        <v>187</v>
      </c>
      <c r="K9" s="25">
        <v>295000</v>
      </c>
      <c r="L9" s="25"/>
      <c r="M9" s="5" t="s">
        <v>186</v>
      </c>
    </row>
    <row r="10" spans="1:13" s="1" customFormat="1" ht="75">
      <c r="A10" s="17">
        <v>7</v>
      </c>
      <c r="B10" s="23">
        <v>46084</v>
      </c>
      <c r="C10" s="23" t="s">
        <v>97</v>
      </c>
      <c r="D10" s="5" t="s">
        <v>188</v>
      </c>
      <c r="E10" s="14" t="s">
        <v>189</v>
      </c>
      <c r="F10" s="52" t="s">
        <v>190</v>
      </c>
      <c r="G10" s="8" t="s">
        <v>101</v>
      </c>
      <c r="H10" s="8" t="s">
        <v>102</v>
      </c>
      <c r="I10" s="14" t="s">
        <v>57</v>
      </c>
      <c r="J10" s="5" t="s">
        <v>191</v>
      </c>
      <c r="K10" s="25"/>
      <c r="L10" s="25"/>
      <c r="M10" s="5" t="s">
        <v>192</v>
      </c>
    </row>
    <row r="11" spans="1:13" s="1" customFormat="1" ht="60">
      <c r="A11" s="17">
        <v>8</v>
      </c>
      <c r="B11" s="23">
        <v>46085</v>
      </c>
      <c r="C11" s="23" t="s">
        <v>97</v>
      </c>
      <c r="D11" s="5" t="s">
        <v>193</v>
      </c>
      <c r="E11" s="14" t="s">
        <v>194</v>
      </c>
      <c r="F11" s="52" t="s">
        <v>165</v>
      </c>
      <c r="G11" s="8" t="s">
        <v>101</v>
      </c>
      <c r="H11" s="8" t="s">
        <v>102</v>
      </c>
      <c r="I11" s="14" t="s">
        <v>166</v>
      </c>
      <c r="J11" s="5" t="s">
        <v>195</v>
      </c>
      <c r="K11" s="25"/>
      <c r="L11" s="25"/>
      <c r="M11" s="5" t="s">
        <v>196</v>
      </c>
    </row>
    <row r="12" spans="1:13" s="1" customFormat="1" ht="45">
      <c r="A12" s="17">
        <v>9</v>
      </c>
      <c r="B12" s="23">
        <v>46085</v>
      </c>
      <c r="C12" s="23" t="s">
        <v>97</v>
      </c>
      <c r="D12" s="5" t="s">
        <v>197</v>
      </c>
      <c r="E12" s="14" t="s">
        <v>198</v>
      </c>
      <c r="F12" s="52" t="s">
        <v>199</v>
      </c>
      <c r="G12" s="14" t="s">
        <v>101</v>
      </c>
      <c r="H12" s="14" t="s">
        <v>102</v>
      </c>
      <c r="I12" s="14" t="s">
        <v>121</v>
      </c>
      <c r="J12" s="5" t="s">
        <v>200</v>
      </c>
      <c r="K12" s="25"/>
      <c r="L12" s="25"/>
      <c r="M12" s="5" t="s">
        <v>201</v>
      </c>
    </row>
    <row r="13" spans="1:13" s="1" customFormat="1" ht="60">
      <c r="A13" s="24">
        <v>10</v>
      </c>
      <c r="B13" s="23">
        <v>46086</v>
      </c>
      <c r="C13" s="23" t="s">
        <v>97</v>
      </c>
      <c r="D13" s="5" t="s">
        <v>202</v>
      </c>
      <c r="E13" s="14" t="s">
        <v>164</v>
      </c>
      <c r="F13" s="52" t="s">
        <v>203</v>
      </c>
      <c r="G13" s="14" t="s">
        <v>101</v>
      </c>
      <c r="H13" s="14" t="s">
        <v>102</v>
      </c>
      <c r="I13" s="14" t="s">
        <v>57</v>
      </c>
      <c r="J13" s="5" t="s">
        <v>204</v>
      </c>
      <c r="K13" s="25"/>
      <c r="L13" s="25"/>
      <c r="M13" s="5" t="s">
        <v>205</v>
      </c>
    </row>
    <row r="14" spans="1:13" s="1" customFormat="1" ht="75">
      <c r="A14" s="24">
        <v>11</v>
      </c>
      <c r="B14" s="23">
        <v>46087</v>
      </c>
      <c r="C14" s="23" t="s">
        <v>97</v>
      </c>
      <c r="D14" s="5" t="s">
        <v>206</v>
      </c>
      <c r="E14" s="14" t="s">
        <v>207</v>
      </c>
      <c r="F14" s="52" t="s">
        <v>208</v>
      </c>
      <c r="G14" s="14" t="s">
        <v>101</v>
      </c>
      <c r="H14" s="14" t="s">
        <v>102</v>
      </c>
      <c r="I14" s="14" t="s">
        <v>57</v>
      </c>
      <c r="J14" s="5" t="s">
        <v>209</v>
      </c>
      <c r="K14" s="25"/>
      <c r="L14" s="25"/>
      <c r="M14" s="5" t="s">
        <v>210</v>
      </c>
    </row>
    <row r="15" spans="1:13" s="1" customFormat="1" ht="60">
      <c r="A15" s="17">
        <v>12</v>
      </c>
      <c r="B15" s="23">
        <v>46087</v>
      </c>
      <c r="C15" s="23" t="s">
        <v>97</v>
      </c>
      <c r="D15" s="5" t="s">
        <v>211</v>
      </c>
      <c r="E15" s="14" t="s">
        <v>207</v>
      </c>
      <c r="F15" s="52" t="s">
        <v>212</v>
      </c>
      <c r="G15" s="14" t="s">
        <v>101</v>
      </c>
      <c r="H15" s="14" t="s">
        <v>102</v>
      </c>
      <c r="I15" s="14" t="s">
        <v>57</v>
      </c>
      <c r="J15" s="5" t="s">
        <v>209</v>
      </c>
      <c r="K15" s="25"/>
      <c r="L15" s="25"/>
      <c r="M15" s="5" t="s">
        <v>213</v>
      </c>
    </row>
    <row r="16" spans="1:13" s="1" customFormat="1" ht="45">
      <c r="A16" s="17">
        <v>13</v>
      </c>
      <c r="B16" s="23">
        <v>46108</v>
      </c>
      <c r="C16" s="23" t="s">
        <v>97</v>
      </c>
      <c r="D16" s="5" t="s">
        <v>206</v>
      </c>
      <c r="E16" s="14" t="s">
        <v>207</v>
      </c>
      <c r="F16" s="52" t="s">
        <v>208</v>
      </c>
      <c r="G16" s="14" t="s">
        <v>101</v>
      </c>
      <c r="H16" s="14" t="s">
        <v>102</v>
      </c>
      <c r="I16" s="14" t="s">
        <v>121</v>
      </c>
      <c r="J16" s="5" t="s">
        <v>209</v>
      </c>
      <c r="K16" s="25">
        <v>95000</v>
      </c>
      <c r="L16" s="25"/>
      <c r="M16" s="5" t="s">
        <v>214</v>
      </c>
    </row>
    <row r="17" spans="1:13" s="1" customFormat="1" ht="30">
      <c r="A17" s="17">
        <v>14</v>
      </c>
      <c r="B17" s="23">
        <v>46108</v>
      </c>
      <c r="C17" s="23" t="s">
        <v>97</v>
      </c>
      <c r="D17" s="5" t="s">
        <v>215</v>
      </c>
      <c r="E17" s="14" t="s">
        <v>216</v>
      </c>
      <c r="F17" s="52" t="s">
        <v>217</v>
      </c>
      <c r="G17" s="14" t="s">
        <v>101</v>
      </c>
      <c r="H17" s="14" t="s">
        <v>102</v>
      </c>
      <c r="I17" s="14" t="s">
        <v>72</v>
      </c>
      <c r="J17" s="5" t="s">
        <v>218</v>
      </c>
      <c r="K17" s="25"/>
      <c r="L17" s="25"/>
      <c r="M17" s="5" t="s">
        <v>219</v>
      </c>
    </row>
    <row r="18" spans="1:13" s="1" customFormat="1" ht="30">
      <c r="A18" s="17">
        <v>15</v>
      </c>
      <c r="B18" s="23">
        <v>46114</v>
      </c>
      <c r="C18" s="23" t="s">
        <v>179</v>
      </c>
      <c r="D18" s="5" t="s">
        <v>180</v>
      </c>
      <c r="E18" s="14" t="s">
        <v>181</v>
      </c>
      <c r="F18" s="52" t="s">
        <v>182</v>
      </c>
      <c r="G18" s="14" t="s">
        <v>220</v>
      </c>
      <c r="H18" s="14" t="s">
        <v>184</v>
      </c>
      <c r="I18" s="14" t="s">
        <v>166</v>
      </c>
      <c r="J18" s="5" t="s">
        <v>221</v>
      </c>
      <c r="K18" s="25">
        <v>52000</v>
      </c>
      <c r="L18" s="25"/>
      <c r="M18" s="5" t="s">
        <v>186</v>
      </c>
    </row>
    <row r="19" spans="1:13" s="1" customFormat="1" ht="75">
      <c r="A19" s="17">
        <v>16</v>
      </c>
      <c r="B19" s="23">
        <v>46136</v>
      </c>
      <c r="C19" s="23" t="s">
        <v>97</v>
      </c>
      <c r="D19" s="5" t="s">
        <v>170</v>
      </c>
      <c r="E19" s="14" t="s">
        <v>171</v>
      </c>
      <c r="F19" s="52" t="s">
        <v>172</v>
      </c>
      <c r="G19" s="14" t="s">
        <v>101</v>
      </c>
      <c r="H19" s="14" t="s">
        <v>102</v>
      </c>
      <c r="I19" s="14" t="s">
        <v>72</v>
      </c>
      <c r="J19" s="5" t="s">
        <v>222</v>
      </c>
      <c r="K19" s="25"/>
      <c r="L19" s="25"/>
      <c r="M19" s="5" t="s">
        <v>223</v>
      </c>
    </row>
    <row r="20" spans="1:13" s="1" customFormat="1" ht="60">
      <c r="A20" s="17">
        <v>17</v>
      </c>
      <c r="B20" s="23">
        <v>46136</v>
      </c>
      <c r="C20" s="23" t="s">
        <v>97</v>
      </c>
      <c r="D20" s="5" t="s">
        <v>206</v>
      </c>
      <c r="E20" s="14" t="s">
        <v>207</v>
      </c>
      <c r="F20" s="52" t="s">
        <v>208</v>
      </c>
      <c r="G20" s="14" t="s">
        <v>101</v>
      </c>
      <c r="H20" s="14" t="s">
        <v>102</v>
      </c>
      <c r="I20" s="14" t="s">
        <v>72</v>
      </c>
      <c r="J20" s="5" t="s">
        <v>224</v>
      </c>
      <c r="K20" s="25"/>
      <c r="L20" s="25"/>
      <c r="M20" s="5" t="s">
        <v>225</v>
      </c>
    </row>
    <row r="21" spans="1:13" s="1" customFormat="1" ht="15.75" thickBot="1">
      <c r="A21" s="24"/>
      <c r="B21" s="23"/>
      <c r="C21" s="23"/>
      <c r="D21" s="5"/>
      <c r="E21" s="14"/>
      <c r="F21" s="5"/>
      <c r="G21" s="14"/>
      <c r="H21" s="14"/>
      <c r="I21" s="14"/>
      <c r="J21" s="5"/>
      <c r="K21" s="25"/>
      <c r="L21" s="5"/>
      <c r="M21" s="5"/>
    </row>
    <row r="22" spans="1:13" s="1" customFormat="1" ht="15.75" thickTop="1">
      <c r="A22" s="34" t="s">
        <v>16</v>
      </c>
      <c r="B22" s="35"/>
      <c r="C22" s="35"/>
      <c r="D22" s="37"/>
      <c r="E22" s="36"/>
      <c r="F22" s="37"/>
      <c r="G22" s="36"/>
      <c r="H22" s="36"/>
      <c r="I22" s="36"/>
      <c r="J22" s="37"/>
      <c r="K22" s="38"/>
      <c r="L22" s="37"/>
      <c r="M22" s="37"/>
    </row>
    <row r="23" spans="1:13" s="1" customFormat="1">
      <c r="A23" s="24">
        <f>A20</f>
        <v>17</v>
      </c>
      <c r="B23" s="23"/>
      <c r="C23" s="23"/>
      <c r="D23" s="5"/>
      <c r="E23" s="14"/>
      <c r="F23" s="5"/>
      <c r="G23" s="14"/>
      <c r="H23" s="14"/>
      <c r="I23" s="14"/>
      <c r="J23" s="5"/>
      <c r="K23" s="25">
        <f>SUM(K4:K20)</f>
        <v>1487000</v>
      </c>
      <c r="L23" s="25">
        <f>SUM(L4:L17)</f>
        <v>0</v>
      </c>
      <c r="M23" s="5"/>
    </row>
    <row r="24" spans="1:13" s="1" customFormat="1">
      <c r="A24" s="24"/>
      <c r="B24" s="23"/>
      <c r="C24" s="23"/>
      <c r="D24" s="5"/>
      <c r="E24" s="14"/>
      <c r="F24" s="5"/>
      <c r="G24" s="14"/>
      <c r="H24" s="14"/>
      <c r="I24" s="14"/>
      <c r="J24" s="5"/>
      <c r="K24" s="25"/>
      <c r="L24" s="5"/>
      <c r="M24" s="5"/>
    </row>
    <row r="25" spans="1:13" s="1" customFormat="1">
      <c r="A25" s="24"/>
      <c r="B25" s="23"/>
      <c r="C25" s="23"/>
      <c r="D25" s="5"/>
      <c r="E25" s="14"/>
      <c r="F25" s="5"/>
      <c r="G25" s="14"/>
      <c r="H25" s="14"/>
      <c r="I25" s="14"/>
      <c r="J25" s="5"/>
      <c r="K25" s="25"/>
      <c r="L25" s="5"/>
      <c r="M25" s="5"/>
    </row>
    <row r="26" spans="1:13" s="1" customFormat="1">
      <c r="A26" s="24"/>
      <c r="B26" s="23"/>
      <c r="C26" s="23"/>
      <c r="D26" s="5"/>
      <c r="E26" s="14"/>
      <c r="F26" s="5"/>
      <c r="G26" s="14"/>
      <c r="H26" s="14"/>
      <c r="I26" s="14"/>
      <c r="J26" s="5"/>
      <c r="K26" s="25"/>
      <c r="L26" s="5"/>
      <c r="M26" s="5"/>
    </row>
    <row r="27" spans="1:13" s="1" customFormat="1">
      <c r="A27" s="15" t="s">
        <v>142</v>
      </c>
      <c r="B27" s="23"/>
      <c r="C27" s="23"/>
      <c r="D27" s="5"/>
      <c r="E27" s="14"/>
      <c r="F27" s="5"/>
      <c r="G27" s="14"/>
      <c r="H27" s="14"/>
      <c r="I27" s="14"/>
      <c r="J27" s="5"/>
      <c r="K27" s="25"/>
      <c r="L27" s="5"/>
      <c r="M27" s="5"/>
    </row>
    <row r="28" spans="1:13" s="1" customFormat="1">
      <c r="A28" s="24"/>
      <c r="B28" s="23"/>
      <c r="C28" s="23" t="s">
        <v>97</v>
      </c>
      <c r="D28" s="5" t="s">
        <v>226</v>
      </c>
      <c r="E28" s="14" t="s">
        <v>227</v>
      </c>
      <c r="F28" s="5"/>
      <c r="G28" s="14"/>
      <c r="H28" s="14"/>
      <c r="I28" s="14"/>
      <c r="J28" s="5"/>
      <c r="K28" s="25"/>
      <c r="L28" s="5"/>
      <c r="M28" s="5"/>
    </row>
    <row r="29" spans="1:13" s="1" customFormat="1">
      <c r="A29" s="24"/>
      <c r="B29" s="23"/>
      <c r="C29" s="23" t="s">
        <v>97</v>
      </c>
      <c r="D29" s="5" t="s">
        <v>228</v>
      </c>
      <c r="E29" s="14" t="s">
        <v>227</v>
      </c>
      <c r="F29" s="5"/>
      <c r="G29" s="14"/>
      <c r="H29" s="14"/>
      <c r="I29" s="14"/>
      <c r="J29" s="5"/>
      <c r="K29" s="25"/>
      <c r="L29" s="5"/>
      <c r="M29" s="5"/>
    </row>
    <row r="30" spans="1:13" s="1" customFormat="1" ht="30">
      <c r="A30" s="24"/>
      <c r="B30" s="23"/>
      <c r="C30" s="23" t="s">
        <v>97</v>
      </c>
      <c r="D30" s="5" t="s">
        <v>229</v>
      </c>
      <c r="E30" s="14" t="s">
        <v>230</v>
      </c>
      <c r="F30" s="5"/>
      <c r="G30" s="14"/>
      <c r="H30" s="14"/>
      <c r="I30" s="14"/>
      <c r="J30" s="5" t="s">
        <v>231</v>
      </c>
      <c r="K30" s="25"/>
      <c r="L30" s="5"/>
      <c r="M30" s="5" t="s">
        <v>232</v>
      </c>
    </row>
    <row r="31" spans="1:13" s="1" customFormat="1">
      <c r="A31" s="24"/>
      <c r="B31" s="23"/>
      <c r="C31" s="23" t="s">
        <v>97</v>
      </c>
      <c r="D31" s="5" t="s">
        <v>233</v>
      </c>
      <c r="E31" s="14" t="s">
        <v>234</v>
      </c>
      <c r="F31" s="5"/>
      <c r="G31" s="14"/>
      <c r="H31" s="14"/>
      <c r="I31" s="14"/>
      <c r="J31" s="5"/>
      <c r="K31" s="25"/>
      <c r="L31" s="5"/>
      <c r="M31" s="5" t="s">
        <v>235</v>
      </c>
    </row>
    <row r="32" spans="1:13" s="1" customFormat="1">
      <c r="A32" s="24"/>
      <c r="B32" s="23"/>
      <c r="C32" s="23" t="s">
        <v>97</v>
      </c>
      <c r="D32" s="5" t="s">
        <v>236</v>
      </c>
      <c r="E32" s="14" t="s">
        <v>189</v>
      </c>
      <c r="F32" s="5"/>
      <c r="G32" s="14"/>
      <c r="H32" s="14"/>
      <c r="I32" s="14"/>
      <c r="J32" s="5"/>
      <c r="K32" s="25"/>
      <c r="L32" s="5"/>
      <c r="M32" s="5" t="s">
        <v>237</v>
      </c>
    </row>
    <row r="33" spans="1:13" s="1" customFormat="1">
      <c r="A33" s="24"/>
      <c r="B33" s="23"/>
      <c r="C33" s="23" t="s">
        <v>97</v>
      </c>
      <c r="D33" s="5" t="s">
        <v>193</v>
      </c>
      <c r="E33" s="14"/>
      <c r="F33" s="5"/>
      <c r="G33" s="14"/>
      <c r="H33" s="14"/>
      <c r="I33" s="14"/>
      <c r="J33" s="5"/>
      <c r="K33" s="25"/>
      <c r="L33" s="5"/>
      <c r="M33" s="5" t="s">
        <v>238</v>
      </c>
    </row>
    <row r="34" spans="1:13" s="1" customFormat="1">
      <c r="A34" s="24"/>
      <c r="B34" s="23"/>
      <c r="C34" s="23"/>
      <c r="D34" s="5"/>
      <c r="E34" s="14"/>
      <c r="F34" s="5"/>
      <c r="G34" s="14"/>
      <c r="H34" s="14"/>
      <c r="I34" s="14"/>
      <c r="J34" s="5"/>
      <c r="K34" s="25"/>
      <c r="L34" s="5"/>
      <c r="M34" s="5"/>
    </row>
    <row r="35" spans="1:13" s="1" customFormat="1">
      <c r="A35" s="24"/>
      <c r="B35" s="23"/>
      <c r="C35" s="23"/>
      <c r="D35" s="5"/>
      <c r="E35" s="14"/>
      <c r="F35" s="5"/>
      <c r="G35" s="14"/>
      <c r="H35" s="14"/>
      <c r="I35" s="14"/>
      <c r="J35" s="5"/>
      <c r="K35" s="25"/>
      <c r="L35" s="5"/>
      <c r="M35" s="5"/>
    </row>
    <row r="36" spans="1:13" s="1" customFormat="1">
      <c r="A36" s="24"/>
      <c r="B36" s="23"/>
      <c r="C36" s="23"/>
      <c r="D36" s="5"/>
      <c r="E36" s="14"/>
      <c r="F36" s="5"/>
      <c r="G36" s="14"/>
      <c r="H36" s="14"/>
      <c r="I36" s="14"/>
      <c r="J36" s="5"/>
      <c r="K36" s="25"/>
      <c r="L36" s="5"/>
      <c r="M36" s="5"/>
    </row>
    <row r="37" spans="1:13" s="1" customFormat="1">
      <c r="A37" s="24"/>
      <c r="B37" s="23"/>
      <c r="C37" s="23"/>
      <c r="D37" s="5"/>
      <c r="E37" s="14"/>
      <c r="F37" s="5"/>
      <c r="G37" s="14"/>
      <c r="H37" s="14"/>
      <c r="I37" s="14"/>
      <c r="J37" s="5"/>
      <c r="K37" s="25"/>
      <c r="L37" s="5"/>
      <c r="M37" s="5"/>
    </row>
    <row r="38" spans="1:13" s="1" customFormat="1">
      <c r="A38" s="24"/>
      <c r="B38" s="23"/>
      <c r="C38" s="23"/>
      <c r="D38" s="5"/>
      <c r="E38" s="14"/>
      <c r="F38" s="5"/>
      <c r="G38" s="14"/>
      <c r="H38" s="14"/>
      <c r="I38" s="14"/>
      <c r="J38" s="5"/>
      <c r="K38" s="25"/>
      <c r="L38" s="5"/>
      <c r="M38" s="5"/>
    </row>
    <row r="39" spans="1:13" s="1" customFormat="1">
      <c r="A39" s="24"/>
      <c r="B39" s="23"/>
      <c r="C39" s="23"/>
      <c r="D39" s="5"/>
      <c r="E39" s="14"/>
      <c r="F39" s="5"/>
      <c r="G39" s="14"/>
      <c r="H39" s="14"/>
      <c r="I39" s="14"/>
      <c r="J39" s="5"/>
      <c r="K39" s="25"/>
      <c r="L39" s="5"/>
      <c r="M39" s="5"/>
    </row>
    <row r="40" spans="1:13" s="1" customFormat="1">
      <c r="A40" s="24"/>
      <c r="B40" s="23"/>
      <c r="C40" s="23"/>
      <c r="D40" s="5"/>
      <c r="E40" s="14"/>
      <c r="F40" s="5"/>
      <c r="G40" s="14"/>
      <c r="H40" s="14"/>
      <c r="I40" s="14"/>
      <c r="J40" s="5"/>
      <c r="K40" s="25"/>
      <c r="L40" s="5"/>
      <c r="M40" s="5"/>
    </row>
    <row r="41" spans="1:13" s="1" customFormat="1">
      <c r="A41" s="24"/>
      <c r="B41" s="23"/>
      <c r="C41" s="23"/>
      <c r="D41" s="5"/>
      <c r="E41" s="14"/>
      <c r="F41" s="5"/>
      <c r="G41" s="14"/>
      <c r="H41" s="14"/>
      <c r="I41" s="14"/>
      <c r="J41" s="5"/>
      <c r="K41" s="25"/>
      <c r="L41" s="5"/>
      <c r="M41" s="5"/>
    </row>
    <row r="42" spans="1:13" s="1" customFormat="1">
      <c r="A42" s="24"/>
      <c r="B42" s="26"/>
      <c r="C42" s="23"/>
      <c r="D42" s="5"/>
      <c r="E42" s="14"/>
      <c r="F42" s="5"/>
      <c r="G42" s="14"/>
      <c r="H42" s="14"/>
      <c r="I42" s="14"/>
      <c r="J42" s="5"/>
      <c r="K42" s="25"/>
      <c r="L42" s="5"/>
      <c r="M42" s="5"/>
    </row>
    <row r="43" spans="1:13" s="1" customFormat="1">
      <c r="B43" s="17"/>
      <c r="C43" s="17"/>
      <c r="D43" s="5"/>
      <c r="E43" s="14"/>
      <c r="F43" s="5"/>
      <c r="G43" s="14"/>
      <c r="H43" s="14"/>
      <c r="I43" s="14"/>
      <c r="J43" s="5"/>
      <c r="K43" s="5"/>
      <c r="L43" s="5"/>
      <c r="M43" s="5"/>
    </row>
    <row r="44" spans="1:13" s="1" customFormat="1">
      <c r="B44" s="17"/>
      <c r="C44" s="17"/>
      <c r="D44" s="5"/>
      <c r="E44" s="14"/>
      <c r="F44" s="5"/>
      <c r="G44" s="14"/>
      <c r="H44" s="14"/>
      <c r="I44" s="14"/>
      <c r="J44" s="5"/>
      <c r="K44" s="5"/>
      <c r="L44" s="5"/>
      <c r="M44" s="5"/>
    </row>
    <row r="45" spans="1:13" s="1" customFormat="1">
      <c r="B45" s="17"/>
      <c r="C45" s="17"/>
      <c r="D45" s="5"/>
      <c r="E45" s="14"/>
      <c r="F45" s="5"/>
      <c r="G45" s="14"/>
      <c r="H45" s="14"/>
      <c r="I45" s="14"/>
      <c r="J45" s="5"/>
      <c r="K45" s="5"/>
      <c r="L45" s="5"/>
      <c r="M45" s="5"/>
    </row>
    <row r="46" spans="1:13" s="1" customFormat="1">
      <c r="B46" s="17"/>
      <c r="C46" s="17"/>
      <c r="D46" s="5"/>
      <c r="E46" s="14"/>
      <c r="F46" s="5"/>
      <c r="G46" s="14"/>
      <c r="H46" s="14"/>
      <c r="I46" s="14"/>
      <c r="J46" s="5"/>
      <c r="K46" s="5"/>
      <c r="L46" s="5"/>
      <c r="M46" s="5"/>
    </row>
    <row r="47" spans="1:13" s="1" customFormat="1">
      <c r="B47" s="17"/>
      <c r="C47" s="17"/>
      <c r="D47" s="5"/>
      <c r="E47" s="14"/>
      <c r="F47" s="5"/>
      <c r="G47" s="14"/>
      <c r="H47" s="14"/>
      <c r="I47" s="14"/>
      <c r="J47" s="5"/>
      <c r="K47" s="5"/>
      <c r="L47" s="5"/>
      <c r="M47" s="5"/>
    </row>
    <row r="48" spans="1:13" s="1" customFormat="1">
      <c r="B48" s="17"/>
      <c r="C48" s="17"/>
      <c r="D48" s="5"/>
      <c r="E48" s="14"/>
      <c r="F48" s="5"/>
      <c r="G48" s="14"/>
      <c r="H48" s="14"/>
      <c r="I48" s="14"/>
      <c r="J48" s="5"/>
      <c r="K48" s="5"/>
      <c r="L48" s="5"/>
      <c r="M48" s="5"/>
    </row>
    <row r="49" spans="2:13" s="1" customFormat="1">
      <c r="B49" s="17"/>
      <c r="C49" s="17"/>
      <c r="D49" s="5"/>
      <c r="E49" s="14"/>
      <c r="F49" s="5"/>
      <c r="G49" s="14"/>
      <c r="H49" s="14"/>
      <c r="I49" s="14"/>
      <c r="J49" s="5"/>
      <c r="K49" s="5"/>
      <c r="L49" s="5"/>
      <c r="M49" s="5"/>
    </row>
    <row r="50" spans="2:13" s="1" customFormat="1">
      <c r="B50" s="17"/>
      <c r="C50" s="17"/>
      <c r="D50" s="5"/>
      <c r="E50" s="14"/>
      <c r="F50" s="5"/>
      <c r="G50" s="14"/>
      <c r="H50" s="14"/>
      <c r="I50" s="14"/>
      <c r="J50" s="5"/>
      <c r="K50" s="5"/>
      <c r="L50" s="5"/>
      <c r="M50" s="5"/>
    </row>
    <row r="51" spans="2:13" s="1" customFormat="1">
      <c r="B51" s="17"/>
      <c r="C51" s="17"/>
      <c r="D51" s="5"/>
      <c r="E51" s="14"/>
      <c r="F51" s="5"/>
      <c r="G51" s="14"/>
      <c r="H51" s="14"/>
      <c r="I51" s="14"/>
      <c r="J51" s="5"/>
      <c r="K51" s="5"/>
      <c r="L51" s="5"/>
      <c r="M51" s="5"/>
    </row>
    <row r="52" spans="2:13" s="1" customFormat="1">
      <c r="B52" s="17"/>
      <c r="C52" s="17"/>
      <c r="D52" s="5"/>
      <c r="E52" s="14"/>
      <c r="F52" s="5"/>
      <c r="G52" s="14"/>
      <c r="H52" s="14"/>
      <c r="I52" s="14"/>
      <c r="J52" s="5"/>
      <c r="K52" s="5"/>
      <c r="L52" s="5"/>
      <c r="M52" s="5"/>
    </row>
    <row r="53" spans="2:13" s="1" customFormat="1">
      <c r="B53" s="17"/>
      <c r="C53" s="17"/>
      <c r="D53" s="5"/>
      <c r="E53" s="14"/>
      <c r="F53" s="5"/>
      <c r="G53" s="14"/>
      <c r="H53" s="14"/>
      <c r="I53" s="14"/>
      <c r="J53" s="5"/>
      <c r="K53" s="5"/>
      <c r="L53" s="5"/>
      <c r="M53" s="5"/>
    </row>
    <row r="54" spans="2:13" s="1" customFormat="1">
      <c r="B54" s="17"/>
      <c r="C54" s="17"/>
      <c r="D54" s="5"/>
      <c r="E54" s="14"/>
      <c r="F54" s="5"/>
      <c r="G54" s="14"/>
      <c r="H54" s="14"/>
      <c r="I54" s="14"/>
      <c r="J54" s="5"/>
      <c r="K54" s="5"/>
      <c r="L54" s="5"/>
      <c r="M54" s="5"/>
    </row>
    <row r="55" spans="2:13" s="1" customFormat="1">
      <c r="B55" s="17"/>
      <c r="C55" s="17"/>
      <c r="D55" s="5"/>
      <c r="E55" s="14"/>
      <c r="F55" s="5"/>
      <c r="G55" s="14"/>
      <c r="H55" s="14"/>
      <c r="I55" s="14"/>
      <c r="J55" s="5"/>
      <c r="K55" s="5"/>
      <c r="L55" s="5"/>
      <c r="M55" s="5"/>
    </row>
    <row r="56" spans="2:13" s="1" customFormat="1">
      <c r="B56" s="17"/>
      <c r="C56" s="17"/>
      <c r="D56" s="5"/>
      <c r="E56" s="14"/>
      <c r="F56" s="5"/>
      <c r="G56" s="14"/>
      <c r="H56" s="14"/>
      <c r="I56" s="14"/>
      <c r="J56" s="5"/>
      <c r="K56" s="5"/>
      <c r="L56" s="5"/>
      <c r="M56" s="5"/>
    </row>
    <row r="57" spans="2:13" s="1" customFormat="1">
      <c r="B57" s="17"/>
      <c r="C57" s="17"/>
      <c r="D57" s="5"/>
      <c r="E57" s="14"/>
      <c r="F57" s="5"/>
      <c r="G57" s="14"/>
      <c r="H57" s="14"/>
      <c r="I57" s="14"/>
      <c r="J57" s="5"/>
      <c r="K57" s="5"/>
      <c r="L57" s="5"/>
      <c r="M57" s="5"/>
    </row>
    <row r="58" spans="2:13" s="1" customFormat="1">
      <c r="B58" s="17"/>
      <c r="C58" s="17"/>
      <c r="D58" s="5"/>
      <c r="E58" s="14"/>
      <c r="F58" s="5"/>
      <c r="G58" s="14"/>
      <c r="H58" s="14"/>
      <c r="I58" s="14"/>
      <c r="J58" s="5"/>
      <c r="K58" s="5"/>
      <c r="L58" s="5"/>
      <c r="M58" s="5"/>
    </row>
    <row r="59" spans="2:13" s="1" customFormat="1">
      <c r="B59" s="17"/>
      <c r="C59" s="17"/>
      <c r="D59" s="5"/>
      <c r="E59" s="14"/>
      <c r="F59" s="5"/>
      <c r="G59" s="14"/>
      <c r="H59" s="14"/>
      <c r="I59" s="14"/>
      <c r="J59" s="5"/>
      <c r="K59" s="5"/>
      <c r="L59" s="5"/>
      <c r="M59" s="5"/>
    </row>
    <row r="60" spans="2:13" s="1" customFormat="1">
      <c r="B60" s="17"/>
      <c r="C60" s="17"/>
      <c r="D60" s="5"/>
      <c r="E60" s="14"/>
      <c r="F60" s="5"/>
      <c r="G60" s="14"/>
      <c r="H60" s="14"/>
      <c r="I60" s="14"/>
      <c r="J60" s="5"/>
      <c r="K60" s="5"/>
      <c r="L60" s="5"/>
      <c r="M60" s="5"/>
    </row>
    <row r="61" spans="2:13" s="1" customFormat="1">
      <c r="B61" s="17"/>
      <c r="C61" s="17"/>
      <c r="D61" s="5"/>
      <c r="E61" s="14"/>
      <c r="F61" s="5"/>
      <c r="G61" s="14"/>
      <c r="H61" s="14"/>
      <c r="I61" s="14"/>
      <c r="J61" s="5"/>
      <c r="K61" s="5"/>
      <c r="L61" s="5"/>
      <c r="M61" s="5"/>
    </row>
    <row r="62" spans="2:13" s="1" customFormat="1">
      <c r="B62" s="17"/>
      <c r="C62" s="17"/>
      <c r="D62" s="5"/>
      <c r="E62" s="14"/>
      <c r="F62" s="5"/>
      <c r="G62" s="14"/>
      <c r="H62" s="14"/>
      <c r="I62" s="14"/>
      <c r="J62" s="5"/>
      <c r="K62" s="5"/>
      <c r="L62" s="5"/>
      <c r="M62" s="5"/>
    </row>
    <row r="63" spans="2:13" s="1" customFormat="1">
      <c r="B63" s="17"/>
      <c r="C63" s="17"/>
      <c r="D63" s="5"/>
      <c r="E63" s="14"/>
      <c r="F63" s="5"/>
      <c r="G63" s="14"/>
      <c r="H63" s="14"/>
      <c r="I63" s="14"/>
      <c r="J63" s="5"/>
      <c r="K63" s="5"/>
      <c r="L63" s="5"/>
      <c r="M63" s="5"/>
    </row>
    <row r="64" spans="2:13" s="1" customFormat="1">
      <c r="B64" s="17"/>
      <c r="C64" s="17"/>
      <c r="D64" s="5"/>
      <c r="E64" s="14"/>
      <c r="F64" s="5"/>
      <c r="G64" s="14"/>
      <c r="H64" s="14"/>
      <c r="I64" s="14"/>
      <c r="J64" s="5"/>
      <c r="K64" s="5"/>
      <c r="L64" s="5"/>
      <c r="M64" s="5"/>
    </row>
    <row r="65" spans="2:13" s="1" customFormat="1">
      <c r="B65" s="17"/>
      <c r="C65" s="17"/>
      <c r="D65" s="5"/>
      <c r="E65" s="14"/>
      <c r="F65" s="5"/>
      <c r="G65" s="14"/>
      <c r="H65" s="14"/>
      <c r="I65" s="14"/>
      <c r="J65" s="5"/>
      <c r="K65" s="5"/>
      <c r="L65" s="5"/>
      <c r="M65" s="5"/>
    </row>
    <row r="66" spans="2:13" s="1" customFormat="1">
      <c r="B66" s="17"/>
      <c r="C66" s="17"/>
      <c r="D66" s="5"/>
      <c r="E66" s="14"/>
      <c r="F66" s="5"/>
      <c r="G66" s="14"/>
      <c r="H66" s="14"/>
      <c r="I66" s="14"/>
      <c r="J66" s="5"/>
      <c r="K66" s="5"/>
      <c r="L66" s="5"/>
      <c r="M66" s="5"/>
    </row>
    <row r="67" spans="2:13" s="1" customFormat="1">
      <c r="B67" s="17"/>
      <c r="C67" s="17"/>
      <c r="D67" s="5"/>
      <c r="E67" s="14"/>
      <c r="F67" s="5"/>
      <c r="G67" s="14"/>
      <c r="H67" s="14"/>
      <c r="I67" s="14"/>
      <c r="J67" s="5"/>
      <c r="K67" s="5"/>
      <c r="L67" s="5"/>
      <c r="M67" s="5"/>
    </row>
    <row r="68" spans="2:13" s="1" customFormat="1">
      <c r="B68" s="17"/>
      <c r="C68" s="17"/>
      <c r="D68" s="5"/>
      <c r="E68" s="14"/>
      <c r="F68" s="5"/>
      <c r="G68" s="14"/>
      <c r="H68" s="14"/>
      <c r="I68" s="14"/>
      <c r="J68" s="5"/>
      <c r="K68" s="5"/>
      <c r="L68" s="5"/>
      <c r="M68" s="5"/>
    </row>
    <row r="69" spans="2:13" s="1" customFormat="1">
      <c r="B69" s="17"/>
      <c r="C69" s="17"/>
      <c r="D69" s="5"/>
      <c r="E69" s="14"/>
      <c r="F69" s="5"/>
      <c r="G69" s="14"/>
      <c r="H69" s="14"/>
      <c r="I69" s="14"/>
      <c r="J69" s="5"/>
      <c r="K69" s="5"/>
      <c r="L69" s="5"/>
      <c r="M69" s="5"/>
    </row>
    <row r="70" spans="2:13" s="1" customFormat="1">
      <c r="B70" s="17"/>
      <c r="C70" s="17"/>
      <c r="D70" s="5"/>
      <c r="E70" s="14"/>
      <c r="F70" s="5"/>
      <c r="G70" s="14"/>
      <c r="H70" s="14"/>
      <c r="I70" s="14"/>
      <c r="J70" s="5"/>
      <c r="K70" s="5"/>
      <c r="L70" s="5"/>
      <c r="M70" s="5"/>
    </row>
    <row r="71" spans="2:13" s="1" customFormat="1">
      <c r="B71" s="17"/>
      <c r="C71" s="17"/>
      <c r="D71" s="5"/>
      <c r="E71" s="14"/>
      <c r="F71" s="5"/>
      <c r="G71" s="14"/>
      <c r="H71" s="14"/>
      <c r="I71" s="14"/>
      <c r="J71" s="5"/>
      <c r="K71" s="5"/>
      <c r="L71" s="5"/>
      <c r="M71" s="5"/>
    </row>
    <row r="72" spans="2:13" s="1" customFormat="1">
      <c r="B72" s="17"/>
      <c r="C72" s="17"/>
      <c r="D72" s="5"/>
      <c r="E72" s="14"/>
      <c r="F72" s="5"/>
      <c r="G72" s="14"/>
      <c r="H72" s="14"/>
      <c r="I72" s="14"/>
      <c r="J72" s="5"/>
      <c r="K72" s="5"/>
      <c r="L72" s="5"/>
      <c r="M72" s="5"/>
    </row>
    <row r="73" spans="2:13" s="1" customFormat="1">
      <c r="B73" s="17"/>
      <c r="C73" s="17"/>
      <c r="D73" s="5"/>
      <c r="E73" s="14"/>
      <c r="F73" s="5"/>
      <c r="G73" s="14"/>
      <c r="H73" s="14"/>
      <c r="I73" s="14"/>
      <c r="J73" s="5"/>
      <c r="K73" s="5"/>
      <c r="L73" s="5"/>
      <c r="M73" s="5"/>
    </row>
    <row r="74" spans="2:13" s="1" customFormat="1">
      <c r="B74" s="17"/>
      <c r="C74" s="17"/>
      <c r="D74" s="5"/>
      <c r="E74" s="14"/>
      <c r="F74" s="5"/>
      <c r="G74" s="14"/>
      <c r="H74" s="14"/>
      <c r="I74" s="14"/>
      <c r="J74" s="5"/>
      <c r="K74" s="5"/>
      <c r="L74" s="5"/>
      <c r="M74" s="5"/>
    </row>
    <row r="75" spans="2:13" s="1" customFormat="1">
      <c r="B75" s="17"/>
      <c r="C75" s="17"/>
      <c r="D75" s="5"/>
      <c r="E75" s="14"/>
      <c r="F75" s="5"/>
      <c r="G75" s="14"/>
      <c r="H75" s="14"/>
      <c r="I75" s="14"/>
      <c r="J75" s="5"/>
      <c r="K75" s="5"/>
      <c r="L75" s="5"/>
      <c r="M75" s="5"/>
    </row>
    <row r="76" spans="2:13" s="1" customFormat="1">
      <c r="B76" s="17"/>
      <c r="C76" s="17"/>
      <c r="D76" s="5"/>
      <c r="E76" s="14"/>
      <c r="F76" s="5"/>
      <c r="G76" s="14"/>
      <c r="H76" s="14"/>
      <c r="I76" s="14"/>
      <c r="J76" s="5"/>
      <c r="K76" s="5"/>
      <c r="L76" s="5"/>
      <c r="M76" s="5"/>
    </row>
    <row r="77" spans="2:13" s="1" customFormat="1">
      <c r="B77" s="17"/>
      <c r="C77" s="17"/>
      <c r="D77" s="5"/>
      <c r="E77" s="14"/>
      <c r="F77" s="5"/>
      <c r="G77" s="14"/>
      <c r="H77" s="14"/>
      <c r="I77" s="14"/>
      <c r="J77" s="5"/>
      <c r="K77" s="5"/>
      <c r="L77" s="5"/>
      <c r="M77" s="5"/>
    </row>
    <row r="78" spans="2:13" s="1" customFormat="1">
      <c r="B78" s="17"/>
      <c r="C78" s="17"/>
      <c r="D78" s="5"/>
      <c r="E78" s="14"/>
      <c r="F78" s="5"/>
      <c r="G78" s="14"/>
      <c r="H78" s="14"/>
      <c r="I78" s="14"/>
      <c r="J78" s="5"/>
      <c r="K78" s="5"/>
      <c r="L78" s="5"/>
      <c r="M78" s="5"/>
    </row>
    <row r="79" spans="2:13" s="1" customFormat="1">
      <c r="B79" s="17"/>
      <c r="C79" s="17"/>
      <c r="D79" s="5"/>
      <c r="E79" s="14"/>
      <c r="F79" s="5"/>
      <c r="G79" s="14"/>
      <c r="H79" s="14"/>
      <c r="I79" s="14"/>
      <c r="J79" s="5"/>
      <c r="K79" s="5"/>
      <c r="L79" s="5"/>
      <c r="M79" s="5"/>
    </row>
    <row r="80" spans="2:13" s="1" customFormat="1">
      <c r="B80" s="17"/>
      <c r="C80" s="17"/>
      <c r="D80" s="5"/>
      <c r="E80" s="14"/>
      <c r="F80" s="5"/>
      <c r="G80" s="14"/>
      <c r="H80" s="14"/>
      <c r="I80" s="14"/>
      <c r="J80" s="5"/>
      <c r="K80" s="5"/>
      <c r="L80" s="5"/>
      <c r="M80" s="5"/>
    </row>
    <row r="81" spans="2:13" s="1" customFormat="1">
      <c r="B81" s="17"/>
      <c r="C81" s="17"/>
      <c r="D81" s="5"/>
      <c r="E81" s="14"/>
      <c r="F81" s="5"/>
      <c r="G81" s="14"/>
      <c r="H81" s="14"/>
      <c r="I81" s="14"/>
      <c r="J81" s="5"/>
      <c r="K81" s="5"/>
      <c r="L81" s="5"/>
      <c r="M81" s="5"/>
    </row>
    <row r="82" spans="2:13" s="1" customFormat="1">
      <c r="B82" s="17"/>
      <c r="C82" s="17"/>
      <c r="D82" s="5"/>
      <c r="E82" s="14"/>
      <c r="F82" s="5"/>
      <c r="G82" s="14"/>
      <c r="H82" s="14"/>
      <c r="I82" s="14"/>
      <c r="J82" s="5"/>
      <c r="K82" s="5"/>
      <c r="L82" s="5"/>
      <c r="M82" s="5"/>
    </row>
    <row r="83" spans="2:13" s="1" customFormat="1">
      <c r="B83" s="17"/>
      <c r="C83" s="17"/>
      <c r="D83" s="5"/>
      <c r="E83" s="14"/>
      <c r="F83" s="5"/>
      <c r="G83" s="14"/>
      <c r="H83" s="14"/>
      <c r="I83" s="14"/>
      <c r="J83" s="5"/>
      <c r="K83" s="5"/>
      <c r="L83" s="5"/>
      <c r="M83" s="5"/>
    </row>
    <row r="84" spans="2:13" s="1" customFormat="1">
      <c r="B84" s="17"/>
      <c r="C84" s="17"/>
      <c r="D84" s="5"/>
      <c r="E84" s="14"/>
      <c r="F84" s="5"/>
      <c r="G84" s="14"/>
      <c r="H84" s="14"/>
      <c r="I84" s="14"/>
      <c r="J84" s="5"/>
      <c r="K84" s="5"/>
      <c r="L84" s="5"/>
      <c r="M84" s="5"/>
    </row>
    <row r="85" spans="2:13" s="1" customFormat="1">
      <c r="B85" s="17"/>
      <c r="C85" s="17"/>
      <c r="D85" s="5"/>
      <c r="E85" s="14"/>
      <c r="F85" s="5"/>
      <c r="G85" s="14"/>
      <c r="H85" s="14"/>
      <c r="I85" s="14"/>
      <c r="J85" s="5"/>
      <c r="K85" s="5"/>
      <c r="L85" s="5"/>
      <c r="M85" s="5"/>
    </row>
    <row r="86" spans="2:13" s="1" customFormat="1">
      <c r="B86" s="17"/>
      <c r="C86" s="17"/>
      <c r="D86" s="5"/>
      <c r="E86" s="14"/>
      <c r="F86" s="5"/>
      <c r="G86" s="14"/>
      <c r="H86" s="14"/>
      <c r="I86" s="14"/>
      <c r="J86" s="5"/>
      <c r="K86" s="5"/>
      <c r="L86" s="5"/>
      <c r="M86" s="5"/>
    </row>
    <row r="87" spans="2:13" s="1" customFormat="1">
      <c r="B87" s="17"/>
      <c r="C87" s="17"/>
      <c r="D87" s="5"/>
      <c r="E87" s="14"/>
      <c r="F87" s="5"/>
      <c r="G87" s="14"/>
      <c r="H87" s="14"/>
      <c r="I87" s="14"/>
      <c r="J87" s="5"/>
      <c r="K87" s="5"/>
      <c r="L87" s="5"/>
      <c r="M87" s="5"/>
    </row>
    <row r="88" spans="2:13" s="1" customFormat="1">
      <c r="B88" s="17"/>
      <c r="C88" s="17"/>
      <c r="D88" s="5"/>
      <c r="E88" s="14"/>
      <c r="F88" s="5"/>
      <c r="G88" s="14"/>
      <c r="H88" s="14"/>
      <c r="I88" s="14"/>
      <c r="J88" s="5"/>
      <c r="K88" s="5"/>
      <c r="L88" s="5"/>
      <c r="M88" s="5"/>
    </row>
    <row r="89" spans="2:13" s="1" customFormat="1">
      <c r="B89" s="17"/>
      <c r="C89" s="17"/>
      <c r="D89" s="5"/>
      <c r="E89" s="14"/>
      <c r="F89" s="5"/>
      <c r="G89" s="14"/>
      <c r="H89" s="14"/>
      <c r="I89" s="14"/>
      <c r="J89" s="5"/>
      <c r="K89" s="5"/>
      <c r="L89" s="5"/>
      <c r="M89" s="5"/>
    </row>
    <row r="90" spans="2:13" s="1" customFormat="1">
      <c r="B90" s="17"/>
      <c r="C90" s="17"/>
      <c r="D90" s="5"/>
      <c r="E90" s="14"/>
      <c r="F90" s="5"/>
      <c r="G90" s="14"/>
      <c r="H90" s="14"/>
      <c r="I90" s="14"/>
      <c r="J90" s="5"/>
      <c r="K90" s="5"/>
      <c r="L90" s="5"/>
      <c r="M90" s="5"/>
    </row>
    <row r="91" spans="2:13" s="1" customFormat="1">
      <c r="B91" s="17"/>
      <c r="C91" s="17"/>
      <c r="D91" s="5"/>
      <c r="E91" s="14"/>
      <c r="F91" s="5"/>
      <c r="G91" s="14"/>
      <c r="H91" s="14"/>
      <c r="I91" s="14"/>
      <c r="J91" s="5"/>
      <c r="K91" s="5"/>
      <c r="L91" s="5"/>
      <c r="M91" s="5"/>
    </row>
    <row r="92" spans="2:13" s="1" customFormat="1">
      <c r="B92" s="17"/>
      <c r="C92" s="17"/>
      <c r="D92" s="5"/>
      <c r="E92" s="14"/>
      <c r="F92" s="5"/>
      <c r="G92" s="14"/>
      <c r="H92" s="14"/>
      <c r="I92" s="14"/>
      <c r="J92" s="5"/>
      <c r="K92" s="5"/>
      <c r="L92" s="5"/>
      <c r="M92" s="5"/>
    </row>
    <row r="93" spans="2:13" s="1" customFormat="1">
      <c r="B93" s="17"/>
      <c r="C93" s="17"/>
      <c r="D93" s="5"/>
      <c r="E93" s="14"/>
      <c r="F93" s="5"/>
      <c r="G93" s="14"/>
      <c r="H93" s="14"/>
      <c r="I93" s="14"/>
      <c r="J93" s="5"/>
      <c r="K93" s="5"/>
      <c r="L93" s="5"/>
      <c r="M93" s="5"/>
    </row>
    <row r="94" spans="2:13" s="1" customFormat="1">
      <c r="B94" s="17"/>
      <c r="C94" s="17"/>
      <c r="D94" s="5"/>
      <c r="E94" s="14"/>
      <c r="F94" s="5"/>
      <c r="G94" s="14"/>
      <c r="H94" s="14"/>
      <c r="I94" s="14"/>
      <c r="J94" s="5"/>
      <c r="K94" s="5"/>
      <c r="L94" s="5"/>
      <c r="M94" s="5"/>
    </row>
    <row r="95" spans="2:13" s="1" customFormat="1">
      <c r="B95" s="17"/>
      <c r="C95" s="17"/>
      <c r="D95" s="5"/>
      <c r="E95" s="14"/>
      <c r="F95" s="5"/>
      <c r="G95" s="14"/>
      <c r="H95" s="14"/>
      <c r="I95" s="14"/>
      <c r="J95" s="5"/>
      <c r="K95" s="5"/>
      <c r="L95" s="5"/>
      <c r="M95" s="5"/>
    </row>
    <row r="96" spans="2:13" s="1" customFormat="1">
      <c r="B96" s="17"/>
      <c r="C96" s="17"/>
      <c r="D96" s="5"/>
      <c r="E96" s="14"/>
      <c r="F96" s="5"/>
      <c r="G96" s="14"/>
      <c r="H96" s="14"/>
      <c r="I96" s="14"/>
      <c r="J96" s="5"/>
      <c r="K96" s="5"/>
      <c r="L96" s="5"/>
      <c r="M96" s="5"/>
    </row>
    <row r="97" spans="2:15" s="1" customFormat="1">
      <c r="B97" s="17"/>
      <c r="C97" s="17"/>
      <c r="D97" s="5"/>
      <c r="E97" s="14"/>
      <c r="F97" s="5"/>
      <c r="G97" s="14"/>
      <c r="H97" s="14"/>
      <c r="I97" s="14"/>
      <c r="J97" s="5"/>
      <c r="K97" s="5"/>
      <c r="L97" s="5"/>
      <c r="M97" s="5"/>
    </row>
    <row r="98" spans="2:15" s="1" customFormat="1">
      <c r="B98" s="17"/>
      <c r="C98" s="17"/>
      <c r="D98" s="5"/>
      <c r="E98" s="14"/>
      <c r="F98" s="5"/>
      <c r="G98" s="14"/>
      <c r="H98" s="14"/>
      <c r="I98" s="14"/>
      <c r="J98" s="5"/>
      <c r="K98" s="5"/>
      <c r="L98" s="5"/>
      <c r="M98" s="5"/>
    </row>
    <row r="99" spans="2:15" s="1" customFormat="1">
      <c r="B99" s="17"/>
      <c r="C99" s="17"/>
      <c r="D99" s="5"/>
      <c r="E99" s="14"/>
      <c r="F99" s="5"/>
      <c r="G99" s="14"/>
      <c r="H99" s="14"/>
      <c r="I99" s="14"/>
      <c r="J99" s="5"/>
      <c r="K99" s="5"/>
      <c r="L99" s="5"/>
      <c r="M99" s="5"/>
    </row>
    <row r="100" spans="2:15" s="1" customFormat="1">
      <c r="B100" s="17"/>
      <c r="C100" s="17"/>
      <c r="D100" s="5"/>
      <c r="E100" s="14"/>
      <c r="F100" s="5"/>
      <c r="G100" s="14"/>
      <c r="H100" s="14"/>
      <c r="I100" s="14"/>
      <c r="J100" s="5"/>
      <c r="K100" s="5"/>
      <c r="L100" s="5"/>
      <c r="M100" s="5"/>
    </row>
    <row r="101" spans="2:15" s="1" customFormat="1">
      <c r="B101" s="17"/>
      <c r="C101" s="17"/>
      <c r="D101" s="5"/>
      <c r="E101" s="14"/>
      <c r="F101" s="5"/>
      <c r="G101" s="14"/>
      <c r="H101" s="14"/>
      <c r="I101" s="14"/>
      <c r="J101" s="5"/>
      <c r="K101" s="5"/>
      <c r="L101" s="5"/>
      <c r="M101" s="5"/>
    </row>
    <row r="102" spans="2:15" s="1" customFormat="1">
      <c r="B102" s="17"/>
      <c r="C102" s="17"/>
      <c r="D102" s="5"/>
      <c r="E102" s="14"/>
      <c r="F102" s="5"/>
      <c r="G102" s="14"/>
      <c r="H102" s="14"/>
      <c r="I102" s="14"/>
      <c r="J102" s="5"/>
      <c r="K102" s="5"/>
      <c r="L102" s="5"/>
      <c r="M102" s="5"/>
    </row>
    <row r="103" spans="2:15" s="1" customFormat="1">
      <c r="B103" s="17"/>
      <c r="C103" s="17"/>
      <c r="D103" s="5"/>
      <c r="E103" s="14"/>
      <c r="F103" s="5"/>
      <c r="G103" s="14"/>
      <c r="H103" s="14"/>
      <c r="I103" s="14"/>
      <c r="J103" s="5"/>
      <c r="K103" s="5"/>
      <c r="L103" s="5"/>
      <c r="M103" s="5"/>
    </row>
    <row r="104" spans="2:15" s="1" customFormat="1">
      <c r="B104" s="17"/>
      <c r="C104" s="17"/>
      <c r="D104" s="5"/>
      <c r="E104" s="14"/>
      <c r="F104" s="5"/>
      <c r="G104" s="14"/>
      <c r="H104" s="14"/>
      <c r="I104" s="14"/>
      <c r="J104" s="5"/>
      <c r="K104" s="5"/>
      <c r="L104" s="5"/>
      <c r="M104" s="5"/>
    </row>
    <row r="105" spans="2:15" s="1" customFormat="1">
      <c r="B105" s="17"/>
      <c r="C105" s="17"/>
      <c r="D105" s="5"/>
      <c r="E105" s="14"/>
      <c r="F105" s="5"/>
      <c r="G105" s="14"/>
      <c r="H105" s="14"/>
      <c r="I105" s="14"/>
      <c r="J105" s="5"/>
      <c r="K105" s="5"/>
      <c r="L105" s="5"/>
      <c r="M105" s="5"/>
    </row>
    <row r="106" spans="2:15" s="1" customFormat="1">
      <c r="B106" s="17"/>
      <c r="C106" s="17"/>
      <c r="D106" s="5"/>
      <c r="E106" s="14"/>
      <c r="F106" s="5"/>
      <c r="G106" s="14"/>
      <c r="H106" s="14"/>
      <c r="I106" s="14"/>
      <c r="J106" s="5"/>
      <c r="K106" s="5"/>
      <c r="L106" s="5"/>
      <c r="M106" s="5"/>
    </row>
    <row r="107" spans="2:15" s="1" customFormat="1">
      <c r="B107" s="17"/>
      <c r="C107" s="17"/>
      <c r="D107" s="5"/>
      <c r="E107" s="14"/>
      <c r="F107" s="5"/>
      <c r="G107" s="14"/>
      <c r="H107" s="14"/>
      <c r="I107" s="14"/>
      <c r="J107" s="5"/>
      <c r="K107" s="5"/>
      <c r="L107" s="5"/>
      <c r="M107" s="5"/>
    </row>
    <row r="108" spans="2:15" s="1" customFormat="1">
      <c r="B108" s="17"/>
      <c r="C108" s="17"/>
      <c r="D108" s="5"/>
      <c r="E108" s="14"/>
      <c r="F108" s="5"/>
      <c r="G108" s="14"/>
      <c r="H108" s="14"/>
      <c r="I108" s="14"/>
      <c r="J108" s="5"/>
      <c r="K108" s="5"/>
      <c r="L108" s="5"/>
      <c r="M108" s="5"/>
      <c r="O108" s="21"/>
    </row>
    <row r="109" spans="2:15" s="1" customFormat="1">
      <c r="B109" s="17"/>
      <c r="C109" s="17"/>
      <c r="D109" s="5"/>
      <c r="E109" s="14"/>
      <c r="F109" s="5"/>
      <c r="G109" s="14"/>
      <c r="H109" s="14"/>
      <c r="I109" s="14"/>
      <c r="J109" s="5"/>
      <c r="K109" s="5"/>
      <c r="L109" s="5"/>
      <c r="M109" s="5"/>
    </row>
    <row r="110" spans="2:15" s="1" customFormat="1">
      <c r="B110" s="17"/>
      <c r="C110" s="17"/>
      <c r="D110" s="5"/>
      <c r="E110" s="14"/>
      <c r="F110" s="5"/>
      <c r="G110" s="14"/>
      <c r="H110" s="14"/>
      <c r="I110" s="14"/>
      <c r="J110" s="5"/>
      <c r="K110" s="5"/>
      <c r="L110" s="5"/>
      <c r="M110" s="5"/>
    </row>
    <row r="111" spans="2:15" s="1" customFormat="1">
      <c r="B111" s="17"/>
      <c r="C111" s="17"/>
      <c r="D111" s="5"/>
      <c r="E111" s="14"/>
      <c r="F111" s="5"/>
      <c r="G111" s="14"/>
      <c r="H111" s="14"/>
      <c r="I111" s="14"/>
      <c r="J111" s="5"/>
      <c r="K111" s="5"/>
      <c r="L111" s="5"/>
      <c r="M111" s="5"/>
    </row>
    <row r="112" spans="2:15" s="1" customFormat="1">
      <c r="B112" s="17"/>
      <c r="C112" s="17"/>
      <c r="D112" s="5"/>
      <c r="E112" s="14"/>
      <c r="F112" s="5"/>
      <c r="G112" s="14"/>
      <c r="H112" s="14"/>
      <c r="I112" s="14"/>
      <c r="J112" s="5"/>
      <c r="K112" s="5"/>
      <c r="L112" s="5"/>
      <c r="M112" s="5"/>
    </row>
    <row r="113" spans="2:13" s="1" customFormat="1">
      <c r="B113" s="17"/>
      <c r="C113" s="17"/>
      <c r="D113" s="5"/>
      <c r="E113" s="14"/>
      <c r="F113" s="5"/>
      <c r="G113" s="14"/>
      <c r="H113" s="14"/>
      <c r="I113" s="14"/>
      <c r="J113" s="5"/>
      <c r="K113" s="5"/>
      <c r="L113" s="5"/>
      <c r="M113" s="5"/>
    </row>
    <row r="114" spans="2:13" s="1" customFormat="1">
      <c r="B114" s="17"/>
      <c r="C114" s="17"/>
      <c r="D114" s="5"/>
      <c r="E114" s="14"/>
      <c r="F114" s="5"/>
      <c r="G114" s="14"/>
      <c r="H114" s="14"/>
      <c r="I114" s="14"/>
      <c r="J114" s="5"/>
      <c r="K114" s="5"/>
      <c r="L114" s="5"/>
      <c r="M114" s="5"/>
    </row>
    <row r="115" spans="2:13" s="1" customFormat="1">
      <c r="B115" s="17"/>
      <c r="C115" s="17"/>
      <c r="D115" s="5"/>
      <c r="E115" s="14"/>
      <c r="F115" s="5"/>
      <c r="G115" s="14"/>
      <c r="H115" s="14"/>
      <c r="I115" s="14"/>
      <c r="J115" s="5"/>
      <c r="K115" s="5"/>
      <c r="L115" s="5"/>
      <c r="M115" s="5"/>
    </row>
    <row r="116" spans="2:13" s="1" customFormat="1">
      <c r="B116" s="17"/>
      <c r="C116" s="17"/>
      <c r="D116" s="5"/>
      <c r="E116" s="14"/>
      <c r="F116" s="5"/>
      <c r="G116" s="14"/>
      <c r="H116" s="14"/>
      <c r="I116" s="14"/>
      <c r="J116" s="5"/>
      <c r="K116" s="5"/>
      <c r="L116" s="5"/>
      <c r="M116" s="5"/>
    </row>
    <row r="117" spans="2:13" s="1" customFormat="1">
      <c r="B117" s="17"/>
      <c r="C117" s="17"/>
      <c r="D117" s="5"/>
      <c r="E117" s="14"/>
      <c r="F117" s="5"/>
      <c r="G117" s="14"/>
      <c r="H117" s="14"/>
      <c r="I117" s="14"/>
      <c r="J117" s="5"/>
      <c r="K117" s="5"/>
      <c r="L117" s="5"/>
      <c r="M117" s="5"/>
    </row>
    <row r="118" spans="2:13" s="1" customFormat="1">
      <c r="B118" s="17"/>
      <c r="C118" s="17"/>
      <c r="D118" s="5"/>
      <c r="E118" s="14"/>
      <c r="F118" s="5"/>
      <c r="G118" s="14"/>
      <c r="H118" s="14"/>
      <c r="I118" s="14"/>
      <c r="J118" s="5"/>
      <c r="K118" s="5"/>
      <c r="L118" s="5"/>
      <c r="M118" s="5"/>
    </row>
    <row r="119" spans="2:13" s="1" customFormat="1">
      <c r="B119" s="17"/>
      <c r="C119" s="17"/>
      <c r="D119" s="5"/>
      <c r="E119" s="14"/>
      <c r="F119" s="5"/>
      <c r="G119" s="14"/>
      <c r="H119" s="14"/>
      <c r="I119" s="14"/>
      <c r="J119" s="5"/>
      <c r="K119" s="5"/>
      <c r="L119" s="5"/>
      <c r="M119" s="5"/>
    </row>
    <row r="120" spans="2:13" s="1" customFormat="1">
      <c r="B120" s="17"/>
      <c r="C120" s="17"/>
      <c r="D120" s="5"/>
      <c r="E120" s="14"/>
      <c r="F120" s="5"/>
      <c r="G120" s="14"/>
      <c r="H120" s="14"/>
      <c r="I120" s="14"/>
      <c r="J120" s="5"/>
      <c r="K120" s="5"/>
      <c r="L120" s="5"/>
      <c r="M120" s="5"/>
    </row>
    <row r="121" spans="2:13" s="1" customFormat="1">
      <c r="B121" s="17"/>
      <c r="C121" s="17"/>
      <c r="D121" s="5"/>
      <c r="E121" s="14"/>
      <c r="F121" s="5"/>
      <c r="G121" s="14"/>
      <c r="H121" s="14"/>
      <c r="I121" s="14"/>
      <c r="J121" s="5"/>
      <c r="K121" s="5"/>
      <c r="L121" s="5"/>
      <c r="M121" s="5"/>
    </row>
    <row r="122" spans="2:13" s="1" customFormat="1">
      <c r="B122" s="17"/>
      <c r="C122" s="17"/>
      <c r="D122" s="5"/>
      <c r="E122" s="14"/>
      <c r="F122" s="5"/>
      <c r="G122" s="14"/>
      <c r="H122" s="14"/>
      <c r="I122" s="14"/>
      <c r="J122" s="5"/>
      <c r="K122" s="5"/>
      <c r="L122" s="5"/>
      <c r="M122" s="5"/>
    </row>
    <row r="123" spans="2:13" s="1" customFormat="1">
      <c r="B123" s="17"/>
      <c r="C123" s="17"/>
      <c r="D123" s="5"/>
      <c r="E123" s="14"/>
      <c r="F123" s="5"/>
      <c r="G123" s="14"/>
      <c r="H123" s="14"/>
      <c r="I123" s="14"/>
      <c r="J123" s="5"/>
      <c r="K123" s="5"/>
      <c r="L123" s="5"/>
      <c r="M123" s="5"/>
    </row>
    <row r="124" spans="2:13" s="1" customFormat="1">
      <c r="B124" s="17"/>
      <c r="C124" s="17"/>
      <c r="D124" s="5"/>
      <c r="E124" s="14"/>
      <c r="F124" s="5"/>
      <c r="G124" s="14"/>
      <c r="H124" s="14"/>
      <c r="I124" s="14"/>
      <c r="J124" s="5"/>
      <c r="K124" s="5"/>
      <c r="L124" s="5"/>
      <c r="M124" s="5"/>
    </row>
    <row r="125" spans="2:13" s="1" customFormat="1">
      <c r="B125" s="17"/>
      <c r="C125" s="17"/>
      <c r="D125" s="5"/>
      <c r="E125" s="14"/>
      <c r="F125" s="5"/>
      <c r="G125" s="14"/>
      <c r="H125" s="14"/>
      <c r="I125" s="14"/>
      <c r="J125" s="5"/>
      <c r="K125" s="5"/>
      <c r="L125" s="5"/>
      <c r="M125" s="5"/>
    </row>
    <row r="126" spans="2:13" s="1" customFormat="1">
      <c r="B126" s="17"/>
      <c r="C126" s="17"/>
      <c r="D126" s="5"/>
      <c r="E126" s="14"/>
      <c r="F126" s="5"/>
      <c r="G126" s="14"/>
      <c r="H126" s="14"/>
      <c r="I126" s="14"/>
      <c r="J126" s="5"/>
      <c r="K126" s="5"/>
      <c r="L126" s="5"/>
      <c r="M126" s="5"/>
    </row>
    <row r="127" spans="2:13" s="1" customFormat="1">
      <c r="B127" s="17"/>
      <c r="C127" s="17"/>
      <c r="D127" s="5"/>
      <c r="E127" s="14"/>
      <c r="F127" s="5"/>
      <c r="G127" s="14"/>
      <c r="H127" s="14"/>
      <c r="I127" s="14"/>
      <c r="J127" s="5"/>
      <c r="K127" s="5"/>
      <c r="L127" s="5"/>
      <c r="M127" s="5"/>
    </row>
    <row r="128" spans="2:13" s="1" customFormat="1">
      <c r="B128" s="17"/>
      <c r="C128" s="17"/>
      <c r="D128" s="5"/>
      <c r="E128" s="14"/>
      <c r="F128" s="5"/>
      <c r="G128" s="14"/>
      <c r="H128" s="14"/>
      <c r="I128" s="14"/>
      <c r="J128" s="5"/>
      <c r="K128" s="5"/>
      <c r="L128" s="5"/>
      <c r="M128" s="5"/>
    </row>
    <row r="129" spans="2:13" s="1" customFormat="1">
      <c r="B129" s="17"/>
      <c r="C129" s="17"/>
      <c r="D129" s="5"/>
      <c r="E129" s="14"/>
      <c r="F129" s="5"/>
      <c r="G129" s="14"/>
      <c r="H129" s="14"/>
      <c r="I129" s="14"/>
      <c r="J129" s="5"/>
      <c r="K129" s="5"/>
      <c r="L129" s="5"/>
      <c r="M129" s="5"/>
    </row>
    <row r="130" spans="2:13" s="1" customFormat="1">
      <c r="B130" s="17"/>
      <c r="C130" s="17"/>
      <c r="D130" s="5"/>
      <c r="E130" s="14"/>
      <c r="F130" s="5"/>
      <c r="G130" s="14"/>
      <c r="H130" s="14"/>
      <c r="I130" s="14"/>
      <c r="J130" s="5"/>
      <c r="K130" s="5"/>
      <c r="L130" s="5"/>
      <c r="M130" s="5"/>
    </row>
    <row r="131" spans="2:13" s="1" customFormat="1">
      <c r="B131" s="17"/>
      <c r="C131" s="17"/>
      <c r="D131" s="5"/>
      <c r="E131" s="14"/>
      <c r="F131" s="5"/>
      <c r="G131" s="14"/>
      <c r="H131" s="14"/>
      <c r="I131" s="14"/>
      <c r="J131" s="5"/>
      <c r="K131" s="5"/>
      <c r="L131" s="5"/>
      <c r="M131" s="5"/>
    </row>
    <row r="132" spans="2:13" s="1" customFormat="1">
      <c r="B132" s="17"/>
      <c r="C132" s="17"/>
      <c r="D132" s="5"/>
      <c r="E132" s="14"/>
      <c r="F132" s="5"/>
      <c r="G132" s="14"/>
      <c r="H132" s="14"/>
      <c r="I132" s="14"/>
      <c r="J132" s="5"/>
      <c r="K132" s="5"/>
      <c r="L132" s="5"/>
      <c r="M132" s="5"/>
    </row>
    <row r="133" spans="2:13" s="1" customFormat="1">
      <c r="B133" s="17"/>
      <c r="C133" s="17"/>
      <c r="D133" s="5"/>
      <c r="E133" s="14"/>
      <c r="F133" s="5"/>
      <c r="G133" s="14"/>
      <c r="H133" s="14"/>
      <c r="I133" s="14"/>
      <c r="J133" s="5"/>
      <c r="K133" s="5"/>
      <c r="L133" s="5"/>
      <c r="M133" s="5"/>
    </row>
    <row r="134" spans="2:13" s="1" customFormat="1">
      <c r="B134" s="17"/>
      <c r="C134" s="17"/>
      <c r="D134" s="5"/>
      <c r="E134" s="14"/>
      <c r="F134" s="5"/>
      <c r="G134" s="14"/>
      <c r="H134" s="14"/>
      <c r="I134" s="14"/>
      <c r="J134" s="5"/>
      <c r="K134" s="5"/>
      <c r="L134" s="5"/>
      <c r="M134" s="5"/>
    </row>
    <row r="135" spans="2:13" s="1" customFormat="1">
      <c r="B135" s="17"/>
      <c r="C135" s="17"/>
      <c r="D135" s="5"/>
      <c r="E135" s="14"/>
      <c r="F135" s="5"/>
      <c r="G135" s="14"/>
      <c r="H135" s="14"/>
      <c r="I135" s="14"/>
      <c r="J135" s="5"/>
      <c r="K135" s="5"/>
      <c r="L135" s="5"/>
      <c r="M135" s="5"/>
    </row>
    <row r="136" spans="2:13" s="1" customFormat="1">
      <c r="B136" s="17"/>
      <c r="C136" s="17"/>
      <c r="D136" s="5"/>
      <c r="E136" s="14"/>
      <c r="F136" s="5"/>
      <c r="G136" s="14"/>
      <c r="H136" s="14"/>
      <c r="I136" s="14"/>
      <c r="J136" s="5"/>
      <c r="K136" s="5"/>
      <c r="L136" s="5"/>
      <c r="M136" s="5"/>
    </row>
    <row r="137" spans="2:13" s="1" customFormat="1">
      <c r="B137" s="17"/>
      <c r="C137" s="17"/>
      <c r="D137" s="5"/>
      <c r="E137" s="14"/>
      <c r="F137" s="5"/>
      <c r="G137" s="14"/>
      <c r="H137" s="14"/>
      <c r="I137" s="14"/>
      <c r="J137" s="5"/>
      <c r="K137" s="5"/>
      <c r="L137" s="5"/>
      <c r="M137" s="5"/>
    </row>
    <row r="138" spans="2:13" s="1" customFormat="1">
      <c r="B138" s="17"/>
      <c r="C138" s="17"/>
      <c r="D138" s="5"/>
      <c r="E138" s="14"/>
      <c r="F138" s="5"/>
      <c r="G138" s="14"/>
      <c r="H138" s="14"/>
      <c r="I138" s="14"/>
      <c r="J138" s="5"/>
      <c r="K138" s="5"/>
      <c r="L138" s="5"/>
      <c r="M138" s="5"/>
    </row>
    <row r="139" spans="2:13" s="1" customFormat="1">
      <c r="B139" s="17"/>
      <c r="C139" s="17"/>
      <c r="D139" s="5"/>
      <c r="E139" s="14"/>
      <c r="F139" s="5"/>
      <c r="G139" s="14"/>
      <c r="H139" s="14"/>
      <c r="I139" s="14"/>
      <c r="J139" s="5"/>
      <c r="K139" s="5"/>
      <c r="L139" s="5"/>
      <c r="M139" s="5"/>
    </row>
    <row r="140" spans="2:13" s="1" customFormat="1">
      <c r="B140" s="17"/>
      <c r="C140" s="17"/>
      <c r="D140" s="5"/>
      <c r="E140" s="14"/>
      <c r="F140" s="5"/>
      <c r="G140" s="14"/>
      <c r="H140" s="14"/>
      <c r="I140" s="14"/>
      <c r="J140" s="5"/>
      <c r="K140" s="5"/>
      <c r="L140" s="5"/>
      <c r="M140" s="5"/>
    </row>
    <row r="141" spans="2:13" s="1" customFormat="1">
      <c r="B141" s="17"/>
      <c r="C141" s="17"/>
      <c r="D141" s="5"/>
      <c r="E141" s="14"/>
      <c r="F141" s="5"/>
      <c r="G141" s="14"/>
      <c r="H141" s="14"/>
      <c r="I141" s="14"/>
      <c r="J141" s="5"/>
      <c r="K141" s="5"/>
      <c r="L141" s="5"/>
      <c r="M141" s="5"/>
    </row>
    <row r="142" spans="2:13" s="1" customFormat="1">
      <c r="B142" s="17"/>
      <c r="C142" s="17"/>
      <c r="D142" s="5"/>
      <c r="E142" s="14"/>
      <c r="F142" s="5"/>
      <c r="G142" s="14"/>
      <c r="H142" s="14"/>
      <c r="I142" s="14"/>
      <c r="J142" s="5"/>
      <c r="K142" s="5"/>
      <c r="L142" s="5"/>
      <c r="M142" s="5"/>
    </row>
    <row r="143" spans="2:13" s="1" customFormat="1">
      <c r="B143" s="17"/>
      <c r="C143" s="17"/>
      <c r="D143" s="5"/>
      <c r="E143" s="14"/>
      <c r="F143" s="5"/>
      <c r="G143" s="14"/>
      <c r="H143" s="14"/>
      <c r="I143" s="14"/>
      <c r="J143" s="5"/>
      <c r="K143" s="5"/>
      <c r="L143" s="5"/>
      <c r="M143" s="5"/>
    </row>
    <row r="144" spans="2:13" s="1" customFormat="1">
      <c r="B144" s="17"/>
      <c r="C144" s="17"/>
      <c r="D144" s="5"/>
      <c r="E144" s="14"/>
      <c r="F144" s="5"/>
      <c r="G144" s="14"/>
      <c r="H144" s="14"/>
      <c r="I144" s="14"/>
      <c r="J144" s="5"/>
      <c r="K144" s="5"/>
      <c r="L144" s="5"/>
      <c r="M144" s="5"/>
    </row>
    <row r="145" spans="2:13" s="1" customFormat="1">
      <c r="B145" s="17"/>
      <c r="C145" s="17"/>
      <c r="D145" s="5"/>
      <c r="E145" s="14"/>
      <c r="F145" s="5"/>
      <c r="G145" s="14"/>
      <c r="H145" s="14"/>
      <c r="I145" s="14"/>
      <c r="J145" s="5"/>
      <c r="K145" s="5"/>
      <c r="L145" s="5"/>
      <c r="M145" s="5"/>
    </row>
    <row r="146" spans="2:13" s="1" customFormat="1">
      <c r="B146" s="17"/>
      <c r="C146" s="17"/>
      <c r="D146" s="5"/>
      <c r="E146" s="14"/>
      <c r="F146" s="5"/>
      <c r="G146" s="14"/>
      <c r="H146" s="14"/>
      <c r="I146" s="14"/>
      <c r="J146" s="5"/>
      <c r="K146" s="5"/>
      <c r="L146" s="5"/>
      <c r="M146" s="5"/>
    </row>
    <row r="147" spans="2:13" s="1" customFormat="1">
      <c r="B147" s="17"/>
      <c r="C147" s="17"/>
      <c r="D147" s="5"/>
      <c r="E147" s="14"/>
      <c r="F147" s="5"/>
      <c r="G147" s="14"/>
      <c r="H147" s="14"/>
      <c r="I147" s="14"/>
      <c r="J147" s="5"/>
      <c r="K147" s="5"/>
      <c r="L147" s="5"/>
      <c r="M147" s="5"/>
    </row>
    <row r="148" spans="2:13" s="1" customFormat="1">
      <c r="B148" s="17"/>
      <c r="C148" s="17"/>
      <c r="D148" s="5"/>
      <c r="E148" s="14"/>
      <c r="F148" s="5"/>
      <c r="G148" s="14"/>
      <c r="H148" s="14"/>
      <c r="I148" s="14"/>
      <c r="J148" s="5"/>
      <c r="K148" s="5"/>
      <c r="L148" s="5"/>
      <c r="M148" s="5"/>
    </row>
    <row r="149" spans="2:13" s="1" customFormat="1">
      <c r="B149" s="17"/>
      <c r="C149" s="17"/>
      <c r="D149" s="5"/>
      <c r="E149" s="14"/>
      <c r="F149" s="5"/>
      <c r="G149" s="14"/>
      <c r="H149" s="14"/>
      <c r="I149" s="14"/>
      <c r="J149" s="5"/>
      <c r="K149" s="5"/>
      <c r="L149" s="5"/>
      <c r="M149" s="5"/>
    </row>
    <row r="150" spans="2:13" s="14" customFormat="1">
      <c r="B150" s="17"/>
      <c r="C150" s="17"/>
      <c r="D150" s="5"/>
      <c r="F150" s="5"/>
      <c r="J150" s="5"/>
      <c r="K150" s="5"/>
      <c r="L150" s="5"/>
      <c r="M150" s="5"/>
    </row>
    <row r="151" spans="2:13" s="14" customFormat="1">
      <c r="B151" s="17"/>
      <c r="C151" s="17"/>
      <c r="D151" s="5"/>
      <c r="F151" s="5"/>
      <c r="J151" s="5"/>
      <c r="K151" s="5"/>
      <c r="L151" s="5"/>
      <c r="M151" s="5"/>
    </row>
    <row r="152" spans="2:13" s="14" customFormat="1">
      <c r="B152" s="17"/>
      <c r="C152" s="17"/>
      <c r="D152" s="5"/>
      <c r="F152" s="5"/>
      <c r="J152" s="5"/>
      <c r="K152" s="5"/>
      <c r="L152" s="5"/>
      <c r="M152" s="5"/>
    </row>
    <row r="153" spans="2:13" s="14" customFormat="1">
      <c r="B153" s="17"/>
      <c r="C153" s="17"/>
      <c r="D153" s="5"/>
      <c r="F153" s="5"/>
      <c r="J153" s="5"/>
      <c r="K153" s="5"/>
      <c r="L153" s="5"/>
      <c r="M153" s="5"/>
    </row>
    <row r="154" spans="2:13" s="14" customFormat="1">
      <c r="B154" s="17"/>
      <c r="C154" s="17"/>
      <c r="D154" s="5"/>
      <c r="F154" s="5"/>
      <c r="J154" s="5"/>
      <c r="K154" s="5"/>
      <c r="L154" s="5"/>
      <c r="M154" s="5"/>
    </row>
    <row r="155" spans="2:13" s="14" customFormat="1">
      <c r="B155" s="17"/>
      <c r="C155" s="17"/>
      <c r="D155" s="5"/>
      <c r="F155" s="5"/>
      <c r="J155" s="5"/>
      <c r="K155" s="5"/>
      <c r="L155" s="5"/>
      <c r="M155" s="5"/>
    </row>
    <row r="156" spans="2:13" s="14" customFormat="1">
      <c r="B156" s="17"/>
      <c r="C156" s="17"/>
      <c r="D156" s="5"/>
      <c r="F156" s="5"/>
      <c r="J156" s="5"/>
      <c r="K156" s="5"/>
      <c r="L156" s="5"/>
      <c r="M156" s="5"/>
    </row>
    <row r="157" spans="2:13" s="14" customFormat="1">
      <c r="B157" s="17"/>
      <c r="C157" s="17"/>
      <c r="D157" s="5"/>
      <c r="F157" s="5"/>
      <c r="J157" s="5"/>
      <c r="K157" s="5"/>
      <c r="L157" s="5"/>
      <c r="M157" s="5"/>
    </row>
    <row r="158" spans="2:13" s="14" customFormat="1">
      <c r="B158" s="17"/>
      <c r="C158" s="17"/>
      <c r="D158" s="5"/>
      <c r="F158" s="5"/>
      <c r="J158" s="5"/>
      <c r="K158" s="5"/>
      <c r="L158" s="5"/>
      <c r="M158" s="5"/>
    </row>
    <row r="159" spans="2:13" s="14" customFormat="1">
      <c r="B159" s="17"/>
      <c r="C159" s="17"/>
      <c r="D159" s="5"/>
      <c r="F159" s="5"/>
      <c r="J159" s="5"/>
      <c r="K159" s="5"/>
      <c r="L159" s="5"/>
      <c r="M159" s="5"/>
    </row>
    <row r="160" spans="2:13" s="14" customFormat="1">
      <c r="B160" s="17"/>
      <c r="C160" s="17"/>
      <c r="D160" s="5"/>
      <c r="F160" s="5"/>
      <c r="J160" s="5"/>
      <c r="K160" s="5"/>
      <c r="L160" s="5"/>
      <c r="M160" s="5"/>
    </row>
    <row r="161" spans="2:13" s="14" customFormat="1">
      <c r="B161" s="17"/>
      <c r="C161" s="17"/>
      <c r="D161" s="5"/>
      <c r="F161" s="5"/>
      <c r="J161" s="5"/>
      <c r="K161" s="5"/>
      <c r="L161" s="5"/>
      <c r="M161" s="5"/>
    </row>
    <row r="162" spans="2:13" s="14" customFormat="1">
      <c r="B162" s="17"/>
      <c r="C162" s="17"/>
      <c r="D162" s="5"/>
      <c r="F162" s="5"/>
      <c r="J162" s="5"/>
      <c r="K162" s="5"/>
      <c r="L162" s="5"/>
      <c r="M162" s="5"/>
    </row>
    <row r="163" spans="2:13" s="1" customFormat="1">
      <c r="B163" s="17"/>
      <c r="C163" s="17"/>
      <c r="D163" s="5"/>
      <c r="E163" s="14"/>
      <c r="F163" s="5"/>
      <c r="G163" s="14"/>
      <c r="H163" s="14"/>
      <c r="I163" s="14"/>
      <c r="J163" s="5"/>
      <c r="K163" s="5"/>
      <c r="L163" s="5"/>
      <c r="M163" s="5"/>
    </row>
    <row r="164" spans="2:13" s="1" customFormat="1">
      <c r="B164" s="17"/>
      <c r="C164" s="17"/>
      <c r="D164" s="5"/>
      <c r="E164" s="14"/>
      <c r="F164" s="5"/>
      <c r="G164" s="14"/>
      <c r="H164" s="14"/>
      <c r="I164" s="14"/>
      <c r="J164" s="5"/>
      <c r="K164" s="5"/>
      <c r="L164" s="5"/>
      <c r="M164" s="5"/>
    </row>
    <row r="165" spans="2:13" s="1" customFormat="1">
      <c r="B165" s="17"/>
      <c r="C165" s="17"/>
      <c r="D165" s="5"/>
      <c r="E165" s="14"/>
      <c r="F165" s="5"/>
      <c r="G165" s="14"/>
      <c r="H165" s="14"/>
      <c r="I165" s="14"/>
      <c r="J165" s="5"/>
      <c r="K165" s="5"/>
      <c r="L165" s="5"/>
      <c r="M165" s="5"/>
    </row>
    <row r="166" spans="2:13" s="1" customFormat="1">
      <c r="B166" s="17"/>
      <c r="C166" s="17"/>
      <c r="D166" s="5"/>
      <c r="E166" s="14"/>
      <c r="F166" s="5"/>
      <c r="G166" s="14"/>
      <c r="H166" s="14"/>
      <c r="I166" s="14"/>
      <c r="J166" s="5"/>
      <c r="K166" s="5"/>
      <c r="L166" s="5"/>
      <c r="M166" s="5"/>
    </row>
    <row r="167" spans="2:13" s="1" customFormat="1">
      <c r="B167" s="17"/>
      <c r="C167" s="17"/>
      <c r="D167" s="5"/>
      <c r="E167" s="14"/>
      <c r="F167" s="5"/>
      <c r="G167" s="14"/>
      <c r="H167" s="14"/>
      <c r="I167" s="14"/>
      <c r="J167" s="5"/>
      <c r="K167" s="5"/>
      <c r="L167" s="5"/>
      <c r="M167" s="5"/>
    </row>
    <row r="168" spans="2:13" s="1" customFormat="1">
      <c r="B168" s="17"/>
      <c r="C168" s="17"/>
      <c r="D168" s="5"/>
      <c r="E168" s="14"/>
      <c r="F168" s="5"/>
      <c r="G168" s="14"/>
      <c r="H168" s="14"/>
      <c r="I168" s="14"/>
      <c r="J168" s="5"/>
      <c r="K168" s="5"/>
      <c r="L168" s="5"/>
      <c r="M168" s="5"/>
    </row>
    <row r="169" spans="2:13" s="1" customFormat="1">
      <c r="B169" s="17"/>
      <c r="C169" s="17"/>
      <c r="D169" s="5"/>
      <c r="E169" s="14"/>
      <c r="F169" s="5"/>
      <c r="G169" s="14"/>
      <c r="H169" s="14"/>
      <c r="I169" s="14"/>
      <c r="J169" s="5"/>
      <c r="K169" s="5"/>
      <c r="L169" s="5"/>
      <c r="M169" s="5"/>
    </row>
    <row r="170" spans="2:13" s="1" customFormat="1">
      <c r="B170" s="17"/>
      <c r="C170" s="17"/>
      <c r="D170" s="5"/>
      <c r="E170" s="14"/>
      <c r="F170" s="5"/>
      <c r="G170" s="14"/>
      <c r="H170" s="14"/>
      <c r="I170" s="14"/>
      <c r="J170" s="5"/>
      <c r="K170" s="5"/>
      <c r="L170" s="5"/>
      <c r="M170" s="5"/>
    </row>
    <row r="171" spans="2:13" s="1" customFormat="1">
      <c r="B171" s="17"/>
      <c r="C171" s="17"/>
      <c r="D171" s="5"/>
      <c r="E171" s="14"/>
      <c r="F171" s="5"/>
      <c r="G171" s="14"/>
      <c r="H171" s="14"/>
      <c r="I171" s="14"/>
      <c r="J171" s="5"/>
      <c r="K171" s="5"/>
      <c r="L171" s="5"/>
      <c r="M171" s="5"/>
    </row>
    <row r="172" spans="2:13" s="1" customFormat="1">
      <c r="B172" s="17"/>
      <c r="C172" s="17"/>
      <c r="D172" s="5"/>
      <c r="E172" s="14"/>
      <c r="F172" s="5"/>
      <c r="G172" s="14"/>
      <c r="H172" s="14"/>
      <c r="I172" s="14"/>
      <c r="J172" s="5"/>
      <c r="K172" s="5"/>
      <c r="L172" s="5"/>
      <c r="M172" s="5"/>
    </row>
    <row r="173" spans="2:13" s="1" customFormat="1">
      <c r="B173" s="17"/>
      <c r="C173" s="17"/>
      <c r="D173" s="5"/>
      <c r="E173" s="14"/>
      <c r="F173" s="5"/>
      <c r="G173" s="14"/>
      <c r="H173" s="14"/>
      <c r="I173" s="14"/>
      <c r="J173" s="5"/>
      <c r="K173" s="5"/>
      <c r="L173" s="5"/>
      <c r="M173" s="5"/>
    </row>
    <row r="174" spans="2:13" s="1" customFormat="1">
      <c r="B174" s="17"/>
      <c r="C174" s="17"/>
      <c r="D174" s="5"/>
      <c r="E174" s="14"/>
      <c r="F174" s="5"/>
      <c r="G174" s="14"/>
      <c r="H174" s="14"/>
      <c r="I174" s="14"/>
      <c r="J174" s="5"/>
      <c r="K174" s="5"/>
      <c r="L174" s="5"/>
      <c r="M174" s="5"/>
    </row>
    <row r="188" spans="2:13" s="1" customFormat="1" ht="21">
      <c r="B188" s="13"/>
      <c r="C188" s="13"/>
      <c r="D188" s="5"/>
      <c r="E188" s="14"/>
      <c r="F188" s="5"/>
      <c r="G188" s="14"/>
      <c r="H188" s="14"/>
      <c r="I188" s="14"/>
      <c r="J188" s="5"/>
      <c r="K188" s="5"/>
      <c r="L188" s="5"/>
      <c r="M188" s="5"/>
    </row>
    <row r="189" spans="2:13" s="1" customFormat="1">
      <c r="B189" s="15"/>
      <c r="C189" s="15"/>
      <c r="D189" s="6"/>
      <c r="E189" s="16"/>
      <c r="F189" s="6"/>
      <c r="G189" s="16"/>
      <c r="H189" s="16"/>
      <c r="I189" s="16"/>
      <c r="J189" s="5"/>
      <c r="K189" s="5"/>
      <c r="L189" s="5"/>
      <c r="M189" s="6"/>
    </row>
    <row r="190" spans="2:13" s="1" customFormat="1">
      <c r="B190" s="17"/>
      <c r="C190" s="17"/>
      <c r="D190" s="5"/>
      <c r="E190" s="14"/>
      <c r="F190" s="5"/>
      <c r="G190" s="14"/>
      <c r="H190" s="14"/>
      <c r="I190" s="14"/>
      <c r="J190" s="5"/>
      <c r="K190" s="5"/>
      <c r="L190" s="5"/>
      <c r="M190" s="5"/>
    </row>
    <row r="191" spans="2:13" s="1" customFormat="1">
      <c r="B191" s="17"/>
      <c r="C191" s="17"/>
      <c r="D191" s="5"/>
      <c r="E191" s="14"/>
      <c r="F191" s="5"/>
      <c r="G191" s="14"/>
      <c r="H191" s="14"/>
      <c r="I191" s="14"/>
      <c r="J191" s="5"/>
      <c r="K191" s="5"/>
      <c r="L191" s="5"/>
      <c r="M191" s="5"/>
    </row>
    <row r="192" spans="2:13" s="1" customFormat="1">
      <c r="B192" s="17"/>
      <c r="C192" s="17"/>
      <c r="D192" s="5"/>
      <c r="E192" s="14"/>
      <c r="F192" s="5"/>
      <c r="G192" s="14"/>
      <c r="H192" s="14"/>
      <c r="I192" s="14"/>
      <c r="J192" s="5"/>
      <c r="K192" s="5"/>
      <c r="L192" s="5"/>
      <c r="M192" s="5"/>
    </row>
    <row r="193" spans="2:13" s="1" customFormat="1">
      <c r="B193" s="17"/>
      <c r="C193" s="17"/>
      <c r="D193" s="5"/>
      <c r="E193" s="14"/>
      <c r="F193" s="5"/>
      <c r="G193" s="14"/>
      <c r="H193" s="14"/>
      <c r="I193" s="14"/>
      <c r="J193" s="5"/>
      <c r="K193" s="5"/>
      <c r="L193" s="5"/>
      <c r="M193" s="5"/>
    </row>
    <row r="194" spans="2:13" s="1" customFormat="1">
      <c r="B194" s="17"/>
      <c r="C194" s="17"/>
      <c r="D194" s="5"/>
      <c r="E194" s="14"/>
      <c r="F194" s="5"/>
      <c r="G194" s="14"/>
      <c r="H194" s="14"/>
      <c r="I194" s="14"/>
      <c r="J194" s="5"/>
      <c r="K194" s="5"/>
      <c r="L194" s="5"/>
      <c r="M194" s="5"/>
    </row>
    <row r="195" spans="2:13" s="1" customFormat="1">
      <c r="B195" s="17"/>
      <c r="C195" s="17"/>
      <c r="D195" s="5"/>
      <c r="E195" s="14"/>
      <c r="F195" s="5"/>
      <c r="G195" s="14"/>
      <c r="H195" s="14"/>
      <c r="I195" s="14"/>
      <c r="J195" s="5"/>
      <c r="K195" s="5"/>
      <c r="L195" s="5"/>
      <c r="M195" s="5"/>
    </row>
    <row r="196" spans="2:13" s="1" customFormat="1">
      <c r="B196" s="17"/>
      <c r="C196" s="17"/>
      <c r="D196" s="5"/>
      <c r="E196" s="14"/>
      <c r="F196" s="5"/>
      <c r="G196" s="14"/>
      <c r="H196" s="14"/>
      <c r="I196" s="14"/>
      <c r="J196" s="5"/>
      <c r="K196" s="5"/>
      <c r="L196" s="5"/>
      <c r="M196" s="5"/>
    </row>
    <row r="197" spans="2:13" s="14" customFormat="1">
      <c r="B197" s="17"/>
      <c r="C197" s="17"/>
      <c r="D197" s="5"/>
      <c r="F197" s="5"/>
      <c r="J197" s="5"/>
      <c r="K197" s="5"/>
      <c r="L197" s="5"/>
      <c r="M197" s="5"/>
    </row>
    <row r="198" spans="2:13" s="14" customFormat="1">
      <c r="B198" s="17"/>
      <c r="C198" s="17"/>
      <c r="D198" s="5"/>
      <c r="F198" s="5"/>
      <c r="J198" s="5"/>
      <c r="K198" s="5"/>
      <c r="L198" s="5"/>
      <c r="M198" s="5"/>
    </row>
    <row r="199" spans="2:13" s="14" customFormat="1">
      <c r="B199" s="17"/>
      <c r="C199" s="17"/>
      <c r="D199" s="5"/>
      <c r="F199" s="5"/>
      <c r="J199" s="5"/>
      <c r="K199" s="5"/>
      <c r="L199" s="5"/>
      <c r="M199" s="5"/>
    </row>
    <row r="200" spans="2:13" s="14" customFormat="1">
      <c r="B200" s="17"/>
      <c r="C200" s="17"/>
      <c r="D200" s="5"/>
      <c r="F200" s="5"/>
      <c r="J200" s="5"/>
      <c r="K200" s="5"/>
      <c r="L200" s="5"/>
      <c r="M200" s="5"/>
    </row>
    <row r="201" spans="2:13" s="14" customFormat="1">
      <c r="B201" s="17"/>
      <c r="C201" s="17"/>
      <c r="D201" s="5"/>
      <c r="F201" s="5"/>
      <c r="J201" s="5"/>
      <c r="K201" s="5"/>
      <c r="L201" s="5"/>
      <c r="M201" s="5"/>
    </row>
    <row r="202" spans="2:13" s="14" customFormat="1">
      <c r="B202" s="17"/>
      <c r="C202" s="17"/>
      <c r="D202" s="5"/>
      <c r="F202" s="5"/>
      <c r="J202" s="5"/>
      <c r="K202" s="5"/>
      <c r="L202" s="5"/>
      <c r="M202" s="5"/>
    </row>
    <row r="203" spans="2:13" s="14" customFormat="1">
      <c r="B203" s="17"/>
      <c r="C203" s="17"/>
      <c r="D203" s="5"/>
      <c r="F203" s="5"/>
      <c r="J203" s="5"/>
      <c r="K203" s="5"/>
      <c r="L203" s="5"/>
      <c r="M203" s="5"/>
    </row>
    <row r="204" spans="2:13" s="14" customFormat="1">
      <c r="B204" s="17"/>
      <c r="C204" s="17"/>
      <c r="D204" s="5"/>
      <c r="F204" s="5"/>
      <c r="J204" s="5"/>
      <c r="K204" s="5"/>
      <c r="L204" s="5"/>
      <c r="M204" s="5"/>
    </row>
    <row r="205" spans="2:13" s="14" customFormat="1">
      <c r="D205" s="5"/>
      <c r="F205" s="5"/>
      <c r="J205" s="5"/>
      <c r="K205" s="5"/>
      <c r="L205" s="5"/>
      <c r="M205" s="5"/>
    </row>
    <row r="206" spans="2:13" s="14" customFormat="1">
      <c r="D206" s="5"/>
      <c r="F206" s="5"/>
      <c r="J206" s="5"/>
      <c r="K206" s="5"/>
      <c r="L206" s="5"/>
      <c r="M206" s="5"/>
    </row>
    <row r="207" spans="2:13" s="14" customFormat="1">
      <c r="D207" s="5"/>
      <c r="F207" s="5"/>
      <c r="J207" s="5"/>
      <c r="K207" s="5"/>
      <c r="L207" s="5"/>
      <c r="M207" s="5"/>
    </row>
    <row r="208" spans="2:13" s="14" customFormat="1">
      <c r="D208" s="5"/>
      <c r="F208" s="5"/>
      <c r="J208" s="5"/>
      <c r="K208" s="5"/>
      <c r="L208" s="5"/>
      <c r="M208" s="5"/>
    </row>
    <row r="209" spans="4:13" s="14" customFormat="1">
      <c r="D209" s="5"/>
      <c r="F209" s="5"/>
      <c r="J209" s="5"/>
      <c r="K209" s="5"/>
      <c r="L209" s="5"/>
      <c r="M209" s="5"/>
    </row>
    <row r="210" spans="4:13" s="14" customFormat="1">
      <c r="D210" s="5"/>
      <c r="F210" s="5"/>
      <c r="J210" s="5"/>
      <c r="K210" s="5"/>
      <c r="L210" s="5"/>
      <c r="M210" s="5"/>
    </row>
    <row r="211" spans="4:13" s="14" customFormat="1">
      <c r="D211" s="5"/>
      <c r="F211" s="5"/>
      <c r="J211" s="5"/>
      <c r="K211" s="5"/>
      <c r="L211" s="5"/>
      <c r="M211" s="5"/>
    </row>
    <row r="212" spans="4:13" s="14" customFormat="1">
      <c r="D212" s="5"/>
      <c r="F212" s="5"/>
      <c r="J212" s="5"/>
      <c r="K212" s="5"/>
      <c r="L212" s="5"/>
      <c r="M212" s="5"/>
    </row>
    <row r="213" spans="4:13" s="14" customFormat="1">
      <c r="D213" s="5"/>
      <c r="F213" s="5"/>
      <c r="J213" s="5"/>
      <c r="K213" s="5"/>
      <c r="L213" s="5"/>
      <c r="M213" s="5"/>
    </row>
    <row r="214" spans="4:13" s="14" customFormat="1">
      <c r="D214" s="5"/>
      <c r="F214" s="5"/>
      <c r="J214" s="5"/>
      <c r="K214" s="5"/>
      <c r="L214" s="5"/>
      <c r="M214" s="5"/>
    </row>
    <row r="215" spans="4:13" s="14" customFormat="1">
      <c r="D215" s="5"/>
      <c r="F215" s="5"/>
      <c r="J215" s="5"/>
      <c r="K215" s="5"/>
      <c r="L215" s="5"/>
      <c r="M215" s="5"/>
    </row>
    <row r="216" spans="4:13" s="14" customFormat="1">
      <c r="D216" s="5"/>
      <c r="F216" s="5"/>
      <c r="J216" s="5"/>
      <c r="K216" s="5"/>
      <c r="L216" s="5"/>
      <c r="M216" s="5"/>
    </row>
    <row r="217" spans="4:13" s="14" customFormat="1">
      <c r="D217" s="5"/>
      <c r="F217" s="5"/>
      <c r="J217" s="5"/>
      <c r="K217" s="5"/>
      <c r="L217" s="5"/>
      <c r="M217" s="5"/>
    </row>
    <row r="218" spans="4:13" s="14" customFormat="1">
      <c r="D218" s="5"/>
      <c r="F218" s="5"/>
      <c r="J218" s="5"/>
      <c r="K218" s="5"/>
      <c r="L218" s="5"/>
      <c r="M218" s="5"/>
    </row>
    <row r="219" spans="4:13" s="14" customFormat="1">
      <c r="D219" s="5"/>
      <c r="F219" s="5"/>
      <c r="J219" s="5"/>
      <c r="K219" s="5"/>
      <c r="L219" s="5"/>
      <c r="M219" s="5"/>
    </row>
    <row r="220" spans="4:13" s="14" customFormat="1">
      <c r="D220" s="5"/>
      <c r="F220" s="5"/>
      <c r="J220" s="5"/>
      <c r="K220" s="5"/>
      <c r="L220" s="5"/>
      <c r="M220" s="5"/>
    </row>
    <row r="221" spans="4:13" s="14" customFormat="1">
      <c r="D221" s="5"/>
      <c r="F221" s="5"/>
      <c r="J221" s="5"/>
      <c r="K221" s="5"/>
      <c r="L221" s="5"/>
      <c r="M221" s="5"/>
    </row>
    <row r="222" spans="4:13" s="14" customFormat="1">
      <c r="D222" s="5"/>
      <c r="F222" s="5"/>
      <c r="J222" s="5"/>
      <c r="K222" s="5"/>
      <c r="L222" s="5"/>
      <c r="M222" s="5"/>
    </row>
    <row r="223" spans="4:13" s="14" customFormat="1">
      <c r="D223" s="5"/>
      <c r="F223" s="5"/>
      <c r="J223" s="5"/>
      <c r="K223" s="5"/>
      <c r="L223" s="5"/>
      <c r="M223" s="5"/>
    </row>
    <row r="224" spans="4:13" s="14" customFormat="1">
      <c r="D224" s="5"/>
      <c r="F224" s="5"/>
      <c r="J224" s="5"/>
      <c r="K224" s="5"/>
      <c r="L224" s="5"/>
      <c r="M224" s="5"/>
    </row>
    <row r="225" spans="2:13" s="14" customFormat="1">
      <c r="D225" s="5"/>
      <c r="F225" s="5"/>
      <c r="J225" s="5"/>
      <c r="K225" s="5"/>
      <c r="L225" s="5"/>
      <c r="M225" s="5"/>
    </row>
    <row r="226" spans="2:13" s="14" customFormat="1">
      <c r="D226" s="5"/>
      <c r="F226" s="5"/>
      <c r="J226" s="5"/>
      <c r="K226" s="5"/>
      <c r="L226" s="5"/>
      <c r="M226" s="5"/>
    </row>
    <row r="227" spans="2:13" s="14" customFormat="1">
      <c r="D227" s="5"/>
      <c r="F227" s="5"/>
      <c r="J227" s="5"/>
      <c r="K227" s="5"/>
      <c r="L227" s="5"/>
      <c r="M227" s="5"/>
    </row>
    <row r="228" spans="2:13" s="14" customFormat="1">
      <c r="D228" s="5"/>
      <c r="F228" s="5"/>
      <c r="J228" s="5"/>
      <c r="K228" s="5"/>
      <c r="L228" s="5"/>
      <c r="M228" s="5"/>
    </row>
    <row r="229" spans="2:13" s="14" customFormat="1">
      <c r="D229" s="5"/>
      <c r="F229" s="5"/>
      <c r="J229" s="5"/>
      <c r="K229" s="5"/>
      <c r="L229" s="5"/>
      <c r="M229" s="5"/>
    </row>
    <row r="230" spans="2:13" s="14" customFormat="1">
      <c r="D230" s="5"/>
      <c r="F230" s="5"/>
      <c r="J230" s="5"/>
      <c r="K230" s="5"/>
      <c r="L230" s="5"/>
      <c r="M230" s="5"/>
    </row>
    <row r="231" spans="2:13" s="14" customFormat="1">
      <c r="D231" s="5"/>
      <c r="F231" s="5"/>
      <c r="J231" s="5"/>
      <c r="K231" s="5"/>
      <c r="L231" s="5"/>
      <c r="M231" s="5"/>
    </row>
    <row r="232" spans="2:13" s="14" customFormat="1">
      <c r="D232" s="5"/>
      <c r="F232" s="5"/>
      <c r="J232" s="5"/>
      <c r="K232" s="5"/>
      <c r="L232" s="5"/>
      <c r="M232" s="5"/>
    </row>
    <row r="233" spans="2:13" s="14" customFormat="1">
      <c r="D233" s="5"/>
      <c r="F233" s="5"/>
      <c r="J233" s="5"/>
      <c r="K233" s="5"/>
      <c r="L233" s="5"/>
      <c r="M233" s="5"/>
    </row>
    <row r="234" spans="2:13" s="14" customFormat="1">
      <c r="D234" s="5"/>
      <c r="F234" s="5"/>
      <c r="J234" s="5"/>
      <c r="K234" s="5"/>
      <c r="L234" s="5"/>
      <c r="M234" s="5"/>
    </row>
    <row r="235" spans="2:13" s="2" customFormat="1">
      <c r="B235" s="18"/>
      <c r="C235" s="18"/>
      <c r="D235" s="7"/>
      <c r="E235" s="19"/>
      <c r="F235" s="7"/>
      <c r="G235" s="19"/>
      <c r="H235" s="19"/>
      <c r="I235" s="19"/>
      <c r="J235" s="5"/>
      <c r="K235" s="5"/>
      <c r="L235" s="5"/>
      <c r="M235" s="7"/>
    </row>
    <row r="236" spans="2:13" s="2" customFormat="1">
      <c r="B236" s="18"/>
      <c r="C236" s="18"/>
      <c r="D236" s="7"/>
      <c r="E236" s="19"/>
      <c r="F236" s="7"/>
      <c r="G236" s="19"/>
      <c r="H236" s="19"/>
      <c r="I236" s="19"/>
      <c r="J236" s="5"/>
      <c r="K236" s="5"/>
      <c r="L236" s="5"/>
      <c r="M236" s="7"/>
    </row>
    <row r="237" spans="2:13" s="2" customFormat="1">
      <c r="B237" s="18"/>
      <c r="C237" s="18"/>
      <c r="D237" s="7"/>
      <c r="E237" s="19"/>
      <c r="F237" s="7"/>
      <c r="G237" s="19"/>
      <c r="H237" s="19"/>
      <c r="I237" s="19"/>
      <c r="J237" s="5"/>
      <c r="K237" s="5"/>
      <c r="L237" s="5"/>
      <c r="M237" s="7"/>
    </row>
    <row r="238" spans="2:13" s="2" customFormat="1">
      <c r="B238" s="18"/>
      <c r="C238" s="18"/>
      <c r="D238" s="7"/>
      <c r="E238" s="19"/>
      <c r="F238" s="7"/>
      <c r="G238" s="19"/>
      <c r="H238" s="19"/>
      <c r="I238" s="19"/>
      <c r="J238" s="5"/>
      <c r="K238" s="5"/>
      <c r="L238" s="5"/>
      <c r="M238" s="7"/>
    </row>
    <row r="239" spans="2:13" s="2" customFormat="1">
      <c r="B239" s="18"/>
      <c r="C239" s="18"/>
      <c r="D239" s="7"/>
      <c r="E239" s="19"/>
      <c r="F239" s="7"/>
      <c r="G239" s="19"/>
      <c r="H239" s="19"/>
      <c r="I239" s="19"/>
      <c r="J239" s="5"/>
      <c r="K239" s="5"/>
      <c r="L239" s="5"/>
      <c r="M239" s="7"/>
    </row>
    <row r="240" spans="2:13" s="2" customFormat="1">
      <c r="B240" s="18"/>
      <c r="C240" s="18"/>
      <c r="D240" s="7"/>
      <c r="E240" s="19"/>
      <c r="F240" s="7"/>
      <c r="G240" s="19"/>
      <c r="H240" s="19"/>
      <c r="I240" s="19"/>
      <c r="J240" s="5"/>
      <c r="K240" s="5"/>
      <c r="L240" s="5"/>
      <c r="M240" s="7"/>
    </row>
    <row r="241" spans="2:13" s="2" customFormat="1">
      <c r="B241" s="18"/>
      <c r="C241" s="18"/>
      <c r="D241" s="7"/>
      <c r="E241" s="19"/>
      <c r="F241" s="7"/>
      <c r="G241" s="19"/>
      <c r="H241" s="19"/>
      <c r="I241" s="19"/>
      <c r="J241" s="5"/>
      <c r="K241" s="5"/>
      <c r="L241" s="5"/>
      <c r="M241" s="7"/>
    </row>
    <row r="242" spans="2:13" s="2" customFormat="1">
      <c r="B242" s="18"/>
      <c r="C242" s="18"/>
      <c r="D242" s="7"/>
      <c r="E242" s="19"/>
      <c r="F242" s="7"/>
      <c r="G242" s="19"/>
      <c r="H242" s="19"/>
      <c r="I242" s="19"/>
      <c r="J242" s="5"/>
      <c r="K242" s="5"/>
      <c r="L242" s="5"/>
      <c r="M242" s="7"/>
    </row>
    <row r="243" spans="2:13" s="2" customFormat="1">
      <c r="B243" s="18"/>
      <c r="C243" s="18"/>
      <c r="D243" s="7"/>
      <c r="E243" s="19"/>
      <c r="F243" s="7"/>
      <c r="G243" s="19"/>
      <c r="H243" s="19"/>
      <c r="I243" s="19"/>
      <c r="J243" s="5"/>
      <c r="K243" s="5"/>
      <c r="L243" s="5"/>
      <c r="M243" s="7"/>
    </row>
    <row r="244" spans="2:13" s="2" customFormat="1">
      <c r="B244" s="18"/>
      <c r="C244" s="18"/>
      <c r="D244" s="7"/>
      <c r="E244" s="19"/>
      <c r="F244" s="7"/>
      <c r="G244" s="19"/>
      <c r="H244" s="19"/>
      <c r="I244" s="19"/>
      <c r="J244" s="5"/>
      <c r="K244" s="5"/>
      <c r="L244" s="5"/>
      <c r="M244" s="7"/>
    </row>
    <row r="245" spans="2:13" s="2" customFormat="1">
      <c r="B245" s="18"/>
      <c r="C245" s="18"/>
      <c r="D245" s="7"/>
      <c r="E245" s="19"/>
      <c r="F245" s="7"/>
      <c r="G245" s="19"/>
      <c r="H245" s="19"/>
      <c r="I245" s="19"/>
      <c r="J245" s="5"/>
      <c r="K245" s="5"/>
      <c r="L245" s="5"/>
      <c r="M245" s="7"/>
    </row>
    <row r="246" spans="2:13" s="2" customFormat="1">
      <c r="B246" s="18"/>
      <c r="C246" s="18"/>
      <c r="D246" s="7"/>
      <c r="E246" s="19"/>
      <c r="F246" s="7"/>
      <c r="G246" s="19"/>
      <c r="H246" s="19"/>
      <c r="I246" s="19"/>
      <c r="J246" s="5"/>
      <c r="K246" s="5"/>
      <c r="L246" s="5"/>
      <c r="M246" s="7"/>
    </row>
    <row r="247" spans="2:13" s="2" customFormat="1">
      <c r="B247" s="18"/>
      <c r="C247" s="18"/>
      <c r="D247" s="7"/>
      <c r="E247" s="19"/>
      <c r="F247" s="7"/>
      <c r="G247" s="19"/>
      <c r="H247" s="19"/>
      <c r="I247" s="19"/>
      <c r="J247" s="5"/>
      <c r="K247" s="5"/>
      <c r="L247" s="5"/>
      <c r="M247" s="7"/>
    </row>
    <row r="248" spans="2:13" s="2" customFormat="1">
      <c r="B248" s="18"/>
      <c r="C248" s="18"/>
      <c r="D248" s="7"/>
      <c r="E248" s="19"/>
      <c r="F248" s="7"/>
      <c r="G248" s="19"/>
      <c r="H248" s="19"/>
      <c r="I248" s="19"/>
      <c r="J248" s="5"/>
      <c r="K248" s="5"/>
      <c r="L248" s="5"/>
      <c r="M248" s="7"/>
    </row>
    <row r="249" spans="2:13" s="2" customFormat="1">
      <c r="B249" s="18"/>
      <c r="C249" s="18"/>
      <c r="D249" s="7"/>
      <c r="E249" s="19"/>
      <c r="F249" s="7"/>
      <c r="G249" s="19"/>
      <c r="H249" s="19"/>
      <c r="I249" s="19"/>
      <c r="J249" s="5"/>
      <c r="K249" s="5"/>
      <c r="L249" s="5"/>
      <c r="M249" s="7"/>
    </row>
    <row r="250" spans="2:13" s="2" customFormat="1">
      <c r="B250" s="18"/>
      <c r="C250" s="18"/>
      <c r="D250" s="7"/>
      <c r="E250" s="19"/>
      <c r="F250" s="7"/>
      <c r="G250" s="19"/>
      <c r="H250" s="19"/>
      <c r="I250" s="19"/>
      <c r="J250" s="5"/>
      <c r="K250" s="5"/>
      <c r="L250" s="5"/>
      <c r="M250" s="7"/>
    </row>
    <row r="251" spans="2:13" s="2" customFormat="1">
      <c r="B251" s="18"/>
      <c r="C251" s="18"/>
      <c r="D251" s="7"/>
      <c r="E251" s="19"/>
      <c r="F251" s="7"/>
      <c r="G251" s="19"/>
      <c r="H251" s="19"/>
      <c r="I251" s="19"/>
      <c r="J251" s="5"/>
      <c r="K251" s="5"/>
      <c r="L251" s="5"/>
      <c r="M251" s="7"/>
    </row>
    <row r="252" spans="2:13" s="2" customFormat="1">
      <c r="B252" s="18"/>
      <c r="C252" s="18"/>
      <c r="D252" s="7"/>
      <c r="E252" s="19"/>
      <c r="F252" s="7"/>
      <c r="G252" s="19"/>
      <c r="H252" s="19"/>
      <c r="I252" s="19"/>
      <c r="J252" s="5"/>
      <c r="K252" s="5"/>
      <c r="L252" s="5"/>
      <c r="M252" s="7"/>
    </row>
    <row r="253" spans="2:13" s="2" customFormat="1">
      <c r="B253" s="18"/>
      <c r="C253" s="18"/>
      <c r="D253" s="7"/>
      <c r="E253" s="19"/>
      <c r="F253" s="7"/>
      <c r="G253" s="19"/>
      <c r="H253" s="19"/>
      <c r="I253" s="19"/>
      <c r="J253" s="5"/>
      <c r="K253" s="5"/>
      <c r="L253" s="5"/>
      <c r="M253" s="7"/>
    </row>
    <row r="254" spans="2:13" s="2" customFormat="1">
      <c r="B254" s="18"/>
      <c r="C254" s="18"/>
      <c r="D254" s="7"/>
      <c r="E254" s="19"/>
      <c r="F254" s="7"/>
      <c r="G254" s="19"/>
      <c r="H254" s="19"/>
      <c r="I254" s="19"/>
      <c r="J254" s="5"/>
      <c r="K254" s="5"/>
      <c r="L254" s="5"/>
      <c r="M254" s="7"/>
    </row>
    <row r="255" spans="2:13" s="2" customFormat="1">
      <c r="B255" s="18"/>
      <c r="C255" s="18"/>
      <c r="D255" s="7"/>
      <c r="E255" s="19"/>
      <c r="F255" s="7"/>
      <c r="G255" s="19"/>
      <c r="H255" s="19"/>
      <c r="I255" s="19"/>
      <c r="J255" s="5"/>
      <c r="K255" s="5"/>
      <c r="L255" s="5"/>
      <c r="M255" s="7"/>
    </row>
    <row r="256" spans="2:13" s="2" customFormat="1">
      <c r="B256" s="18"/>
      <c r="C256" s="18"/>
      <c r="D256" s="7"/>
      <c r="E256" s="19"/>
      <c r="F256" s="7"/>
      <c r="G256" s="19"/>
      <c r="H256" s="19"/>
      <c r="I256" s="19"/>
      <c r="J256" s="5"/>
      <c r="K256" s="5"/>
      <c r="L256" s="5"/>
      <c r="M256" s="7"/>
    </row>
    <row r="257" spans="2:13" s="2" customFormat="1">
      <c r="B257" s="18"/>
      <c r="C257" s="18"/>
      <c r="D257" s="7"/>
      <c r="E257" s="19"/>
      <c r="F257" s="7"/>
      <c r="G257" s="19"/>
      <c r="H257" s="19"/>
      <c r="I257" s="19"/>
      <c r="J257" s="5"/>
      <c r="K257" s="5"/>
      <c r="L257" s="5"/>
      <c r="M257" s="7"/>
    </row>
    <row r="258" spans="2:13" s="2" customFormat="1">
      <c r="B258" s="18"/>
      <c r="C258" s="18"/>
      <c r="D258" s="7"/>
      <c r="E258" s="19"/>
      <c r="F258" s="7"/>
      <c r="G258" s="19"/>
      <c r="H258" s="19"/>
      <c r="I258" s="19"/>
      <c r="J258" s="5"/>
      <c r="K258" s="5"/>
      <c r="L258" s="5"/>
      <c r="M258" s="7"/>
    </row>
    <row r="259" spans="2:13" s="2" customFormat="1">
      <c r="B259" s="18"/>
      <c r="C259" s="18"/>
      <c r="D259" s="7"/>
      <c r="E259" s="19"/>
      <c r="F259" s="7"/>
      <c r="G259" s="19"/>
      <c r="H259" s="19"/>
      <c r="I259" s="19"/>
      <c r="J259" s="5"/>
      <c r="K259" s="5"/>
      <c r="L259" s="5"/>
      <c r="M259" s="7"/>
    </row>
    <row r="260" spans="2:13" s="2" customFormat="1">
      <c r="B260" s="18"/>
      <c r="C260" s="18"/>
      <c r="D260" s="7"/>
      <c r="E260" s="19"/>
      <c r="F260" s="7"/>
      <c r="G260" s="19"/>
      <c r="H260" s="19"/>
      <c r="I260" s="19"/>
      <c r="J260" s="5"/>
      <c r="K260" s="5"/>
      <c r="L260" s="5"/>
      <c r="M260" s="7"/>
    </row>
    <row r="261" spans="2:13" s="2" customFormat="1">
      <c r="B261" s="18"/>
      <c r="C261" s="18"/>
      <c r="D261" s="7"/>
      <c r="E261" s="19"/>
      <c r="F261" s="7"/>
      <c r="G261" s="19"/>
      <c r="H261" s="19"/>
      <c r="I261" s="19"/>
      <c r="J261" s="5"/>
      <c r="K261" s="5"/>
      <c r="L261" s="5"/>
      <c r="M261" s="7"/>
    </row>
    <row r="262" spans="2:13" s="2" customFormat="1">
      <c r="B262" s="18"/>
      <c r="C262" s="18"/>
      <c r="D262" s="7"/>
      <c r="E262" s="19"/>
      <c r="F262" s="7"/>
      <c r="G262" s="19"/>
      <c r="H262" s="19"/>
      <c r="I262" s="19"/>
      <c r="J262" s="5"/>
      <c r="K262" s="5"/>
      <c r="L262" s="5"/>
      <c r="M262" s="7"/>
    </row>
    <row r="263" spans="2:13" s="2" customFormat="1">
      <c r="B263" s="18"/>
      <c r="C263" s="18"/>
      <c r="D263" s="7"/>
      <c r="E263" s="19"/>
      <c r="F263" s="7"/>
      <c r="G263" s="19"/>
      <c r="H263" s="19"/>
      <c r="I263" s="19"/>
      <c r="J263" s="5"/>
      <c r="K263" s="5"/>
      <c r="L263" s="5"/>
      <c r="M263" s="7"/>
    </row>
    <row r="264" spans="2:13" s="2" customFormat="1">
      <c r="B264" s="18"/>
      <c r="C264" s="18"/>
      <c r="D264" s="7"/>
      <c r="E264" s="19"/>
      <c r="F264" s="7"/>
      <c r="G264" s="19"/>
      <c r="H264" s="19"/>
      <c r="I264" s="19"/>
      <c r="J264" s="5"/>
      <c r="K264" s="5"/>
      <c r="L264" s="5"/>
      <c r="M264" s="7"/>
    </row>
    <row r="265" spans="2:13" s="2" customFormat="1">
      <c r="B265" s="18"/>
      <c r="C265" s="18"/>
      <c r="D265" s="7"/>
      <c r="E265" s="19"/>
      <c r="F265" s="7"/>
      <c r="G265" s="19"/>
      <c r="H265" s="19"/>
      <c r="I265" s="19"/>
      <c r="J265" s="5"/>
      <c r="K265" s="5"/>
      <c r="L265" s="5"/>
      <c r="M265" s="7"/>
    </row>
    <row r="266" spans="2:13" s="2" customFormat="1">
      <c r="B266" s="18"/>
      <c r="C266" s="18"/>
      <c r="D266" s="7"/>
      <c r="E266" s="19"/>
      <c r="F266" s="7"/>
      <c r="G266" s="19"/>
      <c r="H266" s="19"/>
      <c r="I266" s="19"/>
      <c r="J266" s="5"/>
      <c r="K266" s="5"/>
      <c r="L266" s="5"/>
      <c r="M266" s="7"/>
    </row>
    <row r="267" spans="2:13" s="2" customFormat="1">
      <c r="B267" s="18"/>
      <c r="C267" s="18"/>
      <c r="D267" s="7"/>
      <c r="E267" s="19"/>
      <c r="F267" s="7"/>
      <c r="G267" s="19"/>
      <c r="H267" s="19"/>
      <c r="I267" s="19"/>
      <c r="J267" s="5"/>
      <c r="K267" s="5"/>
      <c r="L267" s="5"/>
      <c r="M267" s="7"/>
    </row>
    <row r="268" spans="2:13" ht="21">
      <c r="B268" s="9"/>
      <c r="C268" s="9"/>
    </row>
    <row r="269" spans="2:13">
      <c r="B269" s="10"/>
      <c r="C269" s="10"/>
      <c r="E269" s="11"/>
      <c r="F269" s="4"/>
      <c r="G269" s="11"/>
      <c r="H269" s="11"/>
      <c r="I269" s="11"/>
      <c r="M269" s="4"/>
    </row>
    <row r="270" spans="2:13">
      <c r="D270" s="4"/>
    </row>
    <row r="328" spans="2:13" ht="21">
      <c r="B328" s="9"/>
      <c r="C328" s="9"/>
    </row>
    <row r="329" spans="2:13">
      <c r="B329" s="10"/>
      <c r="C329" s="10"/>
      <c r="E329" s="11"/>
      <c r="F329" s="4"/>
      <c r="G329" s="11"/>
      <c r="H329" s="11"/>
      <c r="I329" s="11"/>
      <c r="M329" s="4"/>
    </row>
    <row r="330" spans="2:13">
      <c r="D330" s="4"/>
    </row>
    <row r="388" spans="2:13" ht="21">
      <c r="B388" s="9"/>
      <c r="C388" s="9"/>
    </row>
    <row r="389" spans="2:13">
      <c r="B389" s="10"/>
      <c r="C389" s="10"/>
      <c r="E389" s="11"/>
      <c r="F389" s="4"/>
      <c r="G389" s="11"/>
      <c r="H389" s="11"/>
      <c r="I389" s="11"/>
      <c r="M389" s="4"/>
    </row>
    <row r="390" spans="2:13">
      <c r="D390" s="4"/>
    </row>
    <row r="423" spans="2:13" ht="21">
      <c r="B423" s="9"/>
      <c r="C423" s="9"/>
    </row>
    <row r="424" spans="2:13">
      <c r="B424" s="10"/>
      <c r="C424" s="10"/>
      <c r="E424" s="11"/>
      <c r="F424" s="4"/>
      <c r="G424" s="11"/>
      <c r="H424" s="11"/>
      <c r="I424" s="11"/>
      <c r="M424" s="4"/>
    </row>
    <row r="425" spans="2:13">
      <c r="D425" s="4"/>
    </row>
    <row r="475" spans="2:13" ht="21">
      <c r="B475" s="9"/>
      <c r="C475" s="9"/>
    </row>
    <row r="476" spans="2:13">
      <c r="B476" s="10"/>
      <c r="C476" s="10"/>
      <c r="E476" s="11"/>
      <c r="F476" s="4"/>
      <c r="G476" s="11"/>
      <c r="H476" s="11"/>
      <c r="I476" s="11"/>
      <c r="M476" s="4"/>
    </row>
    <row r="477" spans="2:13">
      <c r="D477" s="4"/>
    </row>
    <row r="510" spans="2:13" ht="21">
      <c r="B510" s="9"/>
      <c r="C510" s="9"/>
    </row>
    <row r="511" spans="2:13">
      <c r="B511" s="10"/>
      <c r="C511" s="10"/>
      <c r="E511" s="11"/>
      <c r="F511" s="4"/>
      <c r="G511" s="11"/>
      <c r="H511" s="11"/>
      <c r="I511" s="11"/>
      <c r="M511" s="4"/>
    </row>
    <row r="512" spans="2:13">
      <c r="D512" s="4"/>
    </row>
    <row r="576" spans="2:3" ht="21">
      <c r="B576" s="9"/>
      <c r="C576" s="9"/>
    </row>
    <row r="577" spans="2:13">
      <c r="B577" s="10"/>
      <c r="C577" s="10"/>
      <c r="E577" s="11"/>
      <c r="F577" s="4"/>
      <c r="G577" s="11"/>
      <c r="H577" s="11"/>
      <c r="I577" s="11"/>
      <c r="M577" s="4"/>
    </row>
    <row r="578" spans="2:13">
      <c r="D578" s="4"/>
    </row>
    <row r="603" spans="2:4">
      <c r="B603" s="20"/>
      <c r="C603" s="20"/>
    </row>
    <row r="604" spans="2:4">
      <c r="D604" s="53"/>
    </row>
  </sheetData>
  <autoFilter ref="A3:M9" xr:uid="{00000000-0001-0000-0000-000000000000}">
    <sortState xmlns:xlrd2="http://schemas.microsoft.com/office/spreadsheetml/2017/richdata2" ref="A4:M14">
      <sortCondition ref="A3:A9"/>
    </sortState>
  </autoFilter>
  <sortState xmlns:xlrd2="http://schemas.microsoft.com/office/spreadsheetml/2017/richdata2" ref="A4:M9">
    <sortCondition ref="B4:B9"/>
    <sortCondition ref="C4:C9"/>
    <sortCondition ref="D4:D9"/>
    <sortCondition ref="E4:E9"/>
    <sortCondition ref="F4:F9"/>
    <sortCondition ref="H4:H9"/>
    <sortCondition ref="I4:I9"/>
  </sortState>
  <hyperlinks>
    <hyperlink ref="F11" r:id="rId1" xr:uid="{741A421F-C35F-42F8-A092-856C0EB77966}"/>
    <hyperlink ref="F9" r:id="rId2" xr:uid="{40D00FA3-312D-4956-A53F-2C38A95FEEF7}"/>
    <hyperlink ref="F4" r:id="rId3" xr:uid="{921760FA-430C-446E-B335-0363125DBDD9}"/>
    <hyperlink ref="F5" r:id="rId4" xr:uid="{1A894523-27C0-4C94-A375-F69751E9DF8F}"/>
    <hyperlink ref="F6" r:id="rId5" xr:uid="{71B97F58-A91A-497D-8F91-4A7B6CD9F0E9}"/>
    <hyperlink ref="F13" r:id="rId6" xr:uid="{609BC004-635C-42DC-9010-B26D609DE987}"/>
    <hyperlink ref="F14" r:id="rId7" xr:uid="{B452A720-0544-4F8B-B913-801BF4058CB7}"/>
    <hyperlink ref="F7" r:id="rId8" xr:uid="{4AFC6B9A-2614-4804-96B7-D30BC3D3A3AE}"/>
    <hyperlink ref="F8" r:id="rId9" xr:uid="{0C404163-1427-47EF-B3F6-94943DA5ECFA}"/>
    <hyperlink ref="F10" r:id="rId10" xr:uid="{6801097D-A212-4605-A90E-FE1476FE1BD5}"/>
    <hyperlink ref="F12" r:id="rId11" xr:uid="{3538F280-FFA9-4766-947D-75893996BAF8}"/>
    <hyperlink ref="F15" r:id="rId12" xr:uid="{E4D7481A-C75A-4972-B505-BCBDA33D38CF}"/>
    <hyperlink ref="F16" r:id="rId13" xr:uid="{A4EAA319-1A32-4E5E-84B7-CBBF9A2B05B6}"/>
    <hyperlink ref="F18" r:id="rId14" xr:uid="{F9C085E9-FC2A-449F-84A8-F61FC20D8106}"/>
    <hyperlink ref="F19" r:id="rId15" xr:uid="{BCD54F45-00C4-45AA-8A7C-588238F74BBC}"/>
    <hyperlink ref="F20" r:id="rId16" xr:uid="{21516252-9560-44F7-87B5-0B80A310CCFE}"/>
  </hyperlinks>
  <pageMargins left="0.70866141732283472" right="0.70866141732283472" top="0.74803149606299213" bottom="0.74803149606299213" header="0.31496062992125984" footer="0.31496062992125984"/>
  <pageSetup scale="41" fitToHeight="3" orientation="landscape" r:id="rId17"/>
  <extLst>
    <ext xmlns:x14="http://schemas.microsoft.com/office/spreadsheetml/2009/9/main" uri="{CCE6A557-97BC-4b89-ADB6-D9C93CAAB3DF}">
      <x14:dataValidations xmlns:xm="http://schemas.microsoft.com/office/excel/2006/main" xWindow="1597" yWindow="558" count="1">
        <x14:dataValidation type="list" allowBlank="1" showInputMessage="1" showErrorMessage="1" promptTitle="Type of BD Activity" prompt="Please select from the list" xr:uid="{DAF4A844-40D4-462F-99AC-A2BE7DBFFDBD}">
          <x14:formula1>
            <xm:f>'contact type'!$A$1:$A$9</xm:f>
          </x14:formula1>
          <xm:sqref>I4:I42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D3D8-1087-4A69-9B23-C95F0C104445}">
  <sheetPr>
    <pageSetUpPr fitToPage="1"/>
  </sheetPr>
  <dimension ref="A1:N626"/>
  <sheetViews>
    <sheetView tabSelected="1" zoomScale="85" zoomScaleNormal="85" workbookViewId="0">
      <pane ySplit="3" topLeftCell="E26" activePane="bottomLeft" state="frozen"/>
      <selection pane="bottomLeft" activeCell="J40" sqref="J40"/>
    </sheetView>
  </sheetViews>
  <sheetFormatPr defaultRowHeight="15"/>
  <cols>
    <col min="1" max="1" width="5.7109375" customWidth="1"/>
    <col min="2" max="2" width="11.85546875" style="12" customWidth="1"/>
    <col min="3" max="3" width="20.7109375" style="12" customWidth="1"/>
    <col min="4" max="4" width="20.140625" style="3" customWidth="1"/>
    <col min="5" max="5" width="28" style="8" bestFit="1" customWidth="1"/>
    <col min="6" max="6" width="34.28515625" style="3" customWidth="1"/>
    <col min="7" max="7" width="15.42578125" style="8" customWidth="1"/>
    <col min="8" max="8" width="16" style="8" customWidth="1"/>
    <col min="9" max="9" width="43.42578125" style="5" customWidth="1"/>
    <col min="10" max="10" width="22.140625" style="5" customWidth="1"/>
    <col min="11" max="11" width="24.42578125" style="5" customWidth="1"/>
    <col min="12" max="12" width="107.5703125" style="3" customWidth="1"/>
    <col min="13" max="13" width="32.85546875" customWidth="1"/>
    <col min="14" max="14" width="2.5703125" customWidth="1"/>
    <col min="16" max="16" width="13.85546875" bestFit="1" customWidth="1"/>
  </cols>
  <sheetData>
    <row r="1" spans="1:12" ht="26.25">
      <c r="A1" s="22" t="s">
        <v>239</v>
      </c>
    </row>
    <row r="2" spans="1:12" s="1" customFormat="1">
      <c r="B2" s="14"/>
      <c r="D2" s="5"/>
      <c r="E2" s="14"/>
      <c r="F2" s="5"/>
      <c r="G2" s="14"/>
      <c r="H2" s="14"/>
      <c r="I2" s="5"/>
      <c r="J2" s="32"/>
      <c r="K2" s="5"/>
      <c r="L2" s="5"/>
    </row>
    <row r="3" spans="1:12" s="27" customFormat="1">
      <c r="A3" s="29" t="s">
        <v>40</v>
      </c>
      <c r="B3" s="28" t="s">
        <v>41</v>
      </c>
      <c r="C3" s="28" t="s">
        <v>42</v>
      </c>
      <c r="D3" s="30" t="s">
        <v>43</v>
      </c>
      <c r="E3" s="29" t="s">
        <v>44</v>
      </c>
      <c r="F3" s="30" t="s">
        <v>45</v>
      </c>
      <c r="G3" s="29" t="s">
        <v>46</v>
      </c>
      <c r="H3" s="29" t="s">
        <v>47</v>
      </c>
      <c r="I3" s="30" t="s">
        <v>48</v>
      </c>
      <c r="J3" s="30" t="s">
        <v>49</v>
      </c>
      <c r="K3" s="30" t="s">
        <v>50</v>
      </c>
      <c r="L3" s="27" t="s">
        <v>51</v>
      </c>
    </row>
    <row r="4" spans="1:12" s="1" customFormat="1" ht="75">
      <c r="A4" s="17">
        <v>1</v>
      </c>
      <c r="B4" s="23">
        <v>46112</v>
      </c>
      <c r="C4" s="23" t="s">
        <v>240</v>
      </c>
      <c r="D4" s="5" t="s">
        <v>241</v>
      </c>
      <c r="E4" s="5" t="s">
        <v>242</v>
      </c>
      <c r="F4" s="52" t="s">
        <v>243</v>
      </c>
      <c r="G4" s="8" t="s">
        <v>244</v>
      </c>
      <c r="H4" s="14" t="s">
        <v>121</v>
      </c>
      <c r="I4" s="5"/>
      <c r="J4" s="25"/>
      <c r="K4" s="25"/>
      <c r="L4" s="5" t="s">
        <v>245</v>
      </c>
    </row>
    <row r="5" spans="1:12" s="1" customFormat="1" ht="30">
      <c r="A5" s="17">
        <v>2</v>
      </c>
      <c r="B5" s="23">
        <v>46114</v>
      </c>
      <c r="C5" s="23" t="s">
        <v>240</v>
      </c>
      <c r="D5" s="5" t="s">
        <v>246</v>
      </c>
      <c r="E5" s="14" t="s">
        <v>247</v>
      </c>
      <c r="F5" s="52" t="s">
        <v>248</v>
      </c>
      <c r="G5" s="14" t="s">
        <v>244</v>
      </c>
      <c r="H5" s="14" t="s">
        <v>121</v>
      </c>
      <c r="I5" s="5"/>
      <c r="J5" s="25"/>
      <c r="K5" s="5"/>
      <c r="L5" s="5" t="s">
        <v>249</v>
      </c>
    </row>
    <row r="6" spans="1:12" s="1" customFormat="1" ht="60">
      <c r="A6" s="17">
        <v>3</v>
      </c>
      <c r="B6" s="23">
        <v>46118</v>
      </c>
      <c r="C6" s="23" t="s">
        <v>240</v>
      </c>
      <c r="D6" s="5" t="s">
        <v>250</v>
      </c>
      <c r="E6" s="14" t="s">
        <v>251</v>
      </c>
      <c r="F6" s="52" t="s">
        <v>252</v>
      </c>
      <c r="G6" s="14" t="s">
        <v>244</v>
      </c>
      <c r="H6" s="14" t="s">
        <v>121</v>
      </c>
      <c r="I6" s="5" t="s">
        <v>253</v>
      </c>
      <c r="J6" s="25"/>
      <c r="K6" s="5"/>
      <c r="L6" s="5" t="s">
        <v>254</v>
      </c>
    </row>
    <row r="7" spans="1:12" s="1" customFormat="1" ht="45">
      <c r="A7" s="17">
        <v>4</v>
      </c>
      <c r="B7" s="23">
        <v>46118</v>
      </c>
      <c r="C7" s="23" t="s">
        <v>240</v>
      </c>
      <c r="D7" s="5" t="s">
        <v>255</v>
      </c>
      <c r="E7" s="14" t="s">
        <v>256</v>
      </c>
      <c r="F7" s="52" t="s">
        <v>257</v>
      </c>
      <c r="G7" s="14" t="s">
        <v>244</v>
      </c>
      <c r="H7" s="14" t="s">
        <v>121</v>
      </c>
      <c r="I7" s="5" t="s">
        <v>258</v>
      </c>
      <c r="J7" s="25">
        <v>620000</v>
      </c>
      <c r="K7" s="5"/>
      <c r="L7" s="62" t="s">
        <v>259</v>
      </c>
    </row>
    <row r="8" spans="1:12" s="1" customFormat="1">
      <c r="A8" s="17">
        <v>5</v>
      </c>
      <c r="B8" s="23">
        <v>46120</v>
      </c>
      <c r="C8" s="23" t="s">
        <v>69</v>
      </c>
      <c r="D8" s="5" t="s">
        <v>260</v>
      </c>
      <c r="E8" s="14" t="s">
        <v>261</v>
      </c>
      <c r="F8" s="52" t="s">
        <v>262</v>
      </c>
      <c r="G8" s="14" t="s">
        <v>244</v>
      </c>
      <c r="H8" s="14" t="s">
        <v>57</v>
      </c>
      <c r="I8" s="5"/>
      <c r="J8" s="25"/>
      <c r="K8" s="5"/>
      <c r="L8" s="62" t="s">
        <v>263</v>
      </c>
    </row>
    <row r="9" spans="1:12" s="1" customFormat="1" ht="30">
      <c r="A9" s="17">
        <v>6</v>
      </c>
      <c r="B9" s="23">
        <v>46125</v>
      </c>
      <c r="C9" s="23" t="s">
        <v>240</v>
      </c>
      <c r="D9" s="5" t="s">
        <v>264</v>
      </c>
      <c r="E9" s="14" t="s">
        <v>265</v>
      </c>
      <c r="F9" s="52" t="s">
        <v>266</v>
      </c>
      <c r="G9" s="14" t="s">
        <v>244</v>
      </c>
      <c r="H9" s="14" t="s">
        <v>121</v>
      </c>
      <c r="I9" s="5"/>
      <c r="J9" s="25"/>
      <c r="K9" s="5"/>
      <c r="L9" s="62" t="s">
        <v>267</v>
      </c>
    </row>
    <row r="10" spans="1:12" s="1" customFormat="1" ht="45">
      <c r="A10" s="17">
        <v>7</v>
      </c>
      <c r="B10" s="23">
        <v>46136</v>
      </c>
      <c r="C10" s="23" t="s">
        <v>240</v>
      </c>
      <c r="D10" s="68" t="s">
        <v>268</v>
      </c>
      <c r="E10" s="14" t="s">
        <v>269</v>
      </c>
      <c r="F10" s="67" t="s">
        <v>270</v>
      </c>
      <c r="G10" s="14" t="s">
        <v>244</v>
      </c>
      <c r="H10" s="14" t="s">
        <v>121</v>
      </c>
      <c r="L10" s="62" t="s">
        <v>271</v>
      </c>
    </row>
    <row r="11" spans="1:12" s="1" customFormat="1" ht="30">
      <c r="A11" s="17">
        <v>8</v>
      </c>
      <c r="B11" s="23">
        <v>46150</v>
      </c>
      <c r="C11" s="23" t="s">
        <v>78</v>
      </c>
      <c r="D11" s="5" t="s">
        <v>272</v>
      </c>
      <c r="E11" s="14" t="s">
        <v>273</v>
      </c>
      <c r="F11" s="52" t="s">
        <v>274</v>
      </c>
      <c r="G11" s="14" t="s">
        <v>244</v>
      </c>
      <c r="H11" s="14" t="s">
        <v>275</v>
      </c>
      <c r="I11" s="5"/>
      <c r="J11" s="25">
        <v>18000</v>
      </c>
      <c r="K11" s="5"/>
      <c r="L11" s="62" t="s">
        <v>276</v>
      </c>
    </row>
    <row r="12" spans="1:12" s="1" customFormat="1">
      <c r="A12" s="17">
        <v>9</v>
      </c>
      <c r="B12" s="23">
        <v>46149</v>
      </c>
      <c r="C12" s="23" t="s">
        <v>69</v>
      </c>
      <c r="D12" s="5" t="s">
        <v>260</v>
      </c>
      <c r="E12" s="14" t="s">
        <v>277</v>
      </c>
      <c r="F12" s="52" t="s">
        <v>278</v>
      </c>
      <c r="G12" s="14" t="s">
        <v>244</v>
      </c>
      <c r="H12" s="14" t="s">
        <v>116</v>
      </c>
      <c r="I12" s="5"/>
      <c r="J12" s="25"/>
      <c r="K12" s="5"/>
      <c r="L12" s="62" t="s">
        <v>279</v>
      </c>
    </row>
    <row r="13" spans="1:12" s="1" customFormat="1">
      <c r="A13" s="17">
        <v>10</v>
      </c>
      <c r="B13" s="23">
        <v>46149</v>
      </c>
      <c r="C13" s="23" t="s">
        <v>69</v>
      </c>
      <c r="D13" s="5" t="s">
        <v>260</v>
      </c>
      <c r="E13" s="14" t="s">
        <v>280</v>
      </c>
      <c r="F13" s="52" t="s">
        <v>281</v>
      </c>
      <c r="G13" s="14" t="s">
        <v>244</v>
      </c>
      <c r="H13" s="14" t="s">
        <v>275</v>
      </c>
      <c r="I13" s="5"/>
      <c r="J13" s="25"/>
      <c r="K13" s="5"/>
      <c r="L13" s="62" t="s">
        <v>282</v>
      </c>
    </row>
    <row r="14" spans="1:12" s="1" customFormat="1">
      <c r="A14" s="17">
        <v>11</v>
      </c>
      <c r="B14" s="23">
        <v>46149</v>
      </c>
      <c r="C14" s="23" t="s">
        <v>69</v>
      </c>
      <c r="D14" s="5" t="s">
        <v>260</v>
      </c>
      <c r="E14" s="14" t="s">
        <v>283</v>
      </c>
      <c r="F14" s="52" t="s">
        <v>284</v>
      </c>
      <c r="G14" s="14" t="s">
        <v>244</v>
      </c>
      <c r="H14" s="14" t="s">
        <v>116</v>
      </c>
      <c r="K14" s="5"/>
      <c r="L14" s="62" t="s">
        <v>285</v>
      </c>
    </row>
    <row r="15" spans="1:12" s="1" customFormat="1" ht="30">
      <c r="A15" s="17">
        <v>12</v>
      </c>
      <c r="B15" s="23">
        <v>46150</v>
      </c>
      <c r="C15" s="23" t="s">
        <v>240</v>
      </c>
      <c r="D15" s="68" t="s">
        <v>286</v>
      </c>
      <c r="E15" s="14" t="s">
        <v>269</v>
      </c>
      <c r="F15" s="67" t="s">
        <v>287</v>
      </c>
      <c r="G15" s="14" t="s">
        <v>244</v>
      </c>
      <c r="H15" s="14" t="s">
        <v>121</v>
      </c>
      <c r="K15" s="5"/>
      <c r="L15" s="62" t="s">
        <v>288</v>
      </c>
    </row>
    <row r="16" spans="1:12" s="1" customFormat="1" ht="30">
      <c r="A16" s="17">
        <v>13</v>
      </c>
      <c r="B16" s="23">
        <v>46150</v>
      </c>
      <c r="C16" s="23" t="s">
        <v>240</v>
      </c>
      <c r="D16" s="5" t="s">
        <v>264</v>
      </c>
      <c r="E16" s="14" t="s">
        <v>265</v>
      </c>
      <c r="F16" s="52" t="s">
        <v>266</v>
      </c>
      <c r="G16" s="14" t="s">
        <v>244</v>
      </c>
      <c r="H16" s="14" t="s">
        <v>121</v>
      </c>
      <c r="I16" s="5" t="s">
        <v>289</v>
      </c>
      <c r="J16" s="25">
        <v>160000</v>
      </c>
      <c r="K16" s="5"/>
      <c r="L16" s="62" t="s">
        <v>290</v>
      </c>
    </row>
    <row r="17" spans="1:12" s="1" customFormat="1" ht="60">
      <c r="A17" s="17">
        <v>14</v>
      </c>
      <c r="B17" s="23">
        <v>46150</v>
      </c>
      <c r="C17" s="23" t="s">
        <v>78</v>
      </c>
      <c r="D17" s="5" t="s">
        <v>291</v>
      </c>
      <c r="E17" s="14" t="s">
        <v>292</v>
      </c>
      <c r="F17" s="52" t="s">
        <v>293</v>
      </c>
      <c r="G17" s="14" t="s">
        <v>244</v>
      </c>
      <c r="H17" s="14" t="s">
        <v>57</v>
      </c>
      <c r="I17" s="5" t="s">
        <v>294</v>
      </c>
      <c r="J17" s="25"/>
      <c r="K17" s="5"/>
      <c r="L17" s="62" t="s">
        <v>295</v>
      </c>
    </row>
    <row r="18" spans="1:12" s="1" customFormat="1" ht="30">
      <c r="A18" s="17">
        <v>15</v>
      </c>
      <c r="B18" s="23">
        <v>46150</v>
      </c>
      <c r="C18" s="23" t="s">
        <v>97</v>
      </c>
      <c r="D18" s="5" t="s">
        <v>260</v>
      </c>
      <c r="E18" s="14" t="s">
        <v>261</v>
      </c>
      <c r="F18" s="52" t="s">
        <v>262</v>
      </c>
      <c r="G18" s="14" t="s">
        <v>244</v>
      </c>
      <c r="H18" s="14" t="s">
        <v>121</v>
      </c>
      <c r="I18" s="5"/>
      <c r="J18" s="25"/>
      <c r="K18" s="5"/>
      <c r="L18" s="62" t="s">
        <v>296</v>
      </c>
    </row>
    <row r="19" spans="1:12" s="1" customFormat="1" ht="30">
      <c r="A19" s="17">
        <v>16</v>
      </c>
      <c r="B19" s="23">
        <v>46153</v>
      </c>
      <c r="C19" s="23" t="s">
        <v>240</v>
      </c>
      <c r="D19" s="5" t="s">
        <v>297</v>
      </c>
      <c r="E19" s="14" t="s">
        <v>298</v>
      </c>
      <c r="F19" s="52" t="s">
        <v>299</v>
      </c>
      <c r="G19" s="14" t="s">
        <v>244</v>
      </c>
      <c r="H19" s="14" t="s">
        <v>57</v>
      </c>
      <c r="I19" s="5"/>
      <c r="J19" s="25"/>
      <c r="K19" s="5"/>
      <c r="L19" s="62" t="s">
        <v>300</v>
      </c>
    </row>
    <row r="20" spans="1:12" s="1" customFormat="1" ht="45">
      <c r="A20" s="17">
        <v>17</v>
      </c>
      <c r="B20" s="23">
        <v>46153</v>
      </c>
      <c r="C20" s="23" t="s">
        <v>240</v>
      </c>
      <c r="D20" s="5" t="s">
        <v>301</v>
      </c>
      <c r="E20" s="14" t="s">
        <v>283</v>
      </c>
      <c r="F20" s="52" t="s">
        <v>284</v>
      </c>
      <c r="G20" s="14" t="s">
        <v>244</v>
      </c>
      <c r="H20" s="14" t="s">
        <v>121</v>
      </c>
      <c r="I20" s="5"/>
      <c r="J20" s="25"/>
      <c r="K20" s="5"/>
      <c r="L20" s="62" t="s">
        <v>302</v>
      </c>
    </row>
    <row r="21" spans="1:12" s="1" customFormat="1" ht="45">
      <c r="A21" s="17">
        <v>18</v>
      </c>
      <c r="B21" s="23">
        <v>46153</v>
      </c>
      <c r="C21" s="23" t="s">
        <v>240</v>
      </c>
      <c r="D21" s="5" t="s">
        <v>291</v>
      </c>
      <c r="E21" s="14" t="s">
        <v>292</v>
      </c>
      <c r="F21" s="52" t="s">
        <v>293</v>
      </c>
      <c r="G21" s="14" t="s">
        <v>244</v>
      </c>
      <c r="H21" s="14" t="s">
        <v>121</v>
      </c>
      <c r="I21" s="5"/>
      <c r="J21" s="25"/>
      <c r="K21" s="5"/>
      <c r="L21" s="62" t="s">
        <v>303</v>
      </c>
    </row>
    <row r="22" spans="1:12" s="1" customFormat="1" ht="45">
      <c r="A22" s="17">
        <v>19</v>
      </c>
      <c r="B22" s="23">
        <v>46153</v>
      </c>
      <c r="C22" s="23" t="s">
        <v>240</v>
      </c>
      <c r="D22" s="5" t="s">
        <v>304</v>
      </c>
      <c r="E22" s="14" t="s">
        <v>280</v>
      </c>
      <c r="F22" s="52" t="s">
        <v>281</v>
      </c>
      <c r="G22" s="14" t="s">
        <v>244</v>
      </c>
      <c r="H22" s="14" t="s">
        <v>121</v>
      </c>
      <c r="I22" s="5"/>
      <c r="J22" s="25"/>
      <c r="K22" s="5"/>
      <c r="L22" s="62" t="s">
        <v>305</v>
      </c>
    </row>
    <row r="23" spans="1:12" s="1" customFormat="1" ht="45">
      <c r="A23" s="17">
        <v>20</v>
      </c>
      <c r="B23" s="23">
        <v>46153</v>
      </c>
      <c r="C23" s="23" t="s">
        <v>97</v>
      </c>
      <c r="D23" s="5" t="s">
        <v>291</v>
      </c>
      <c r="E23" s="14" t="s">
        <v>292</v>
      </c>
      <c r="F23" s="52" t="s">
        <v>293</v>
      </c>
      <c r="G23" s="14" t="s">
        <v>244</v>
      </c>
      <c r="H23" s="14" t="s">
        <v>121</v>
      </c>
      <c r="I23" s="5" t="s">
        <v>294</v>
      </c>
      <c r="J23" s="25"/>
      <c r="K23" s="5"/>
      <c r="L23" s="62" t="s">
        <v>306</v>
      </c>
    </row>
    <row r="24" spans="1:12" s="1" customFormat="1" ht="45">
      <c r="A24" s="17">
        <v>21</v>
      </c>
      <c r="B24" s="23">
        <v>46156</v>
      </c>
      <c r="C24" s="23" t="s">
        <v>97</v>
      </c>
      <c r="D24" s="5" t="s">
        <v>304</v>
      </c>
      <c r="E24" s="14" t="s">
        <v>280</v>
      </c>
      <c r="F24" s="52" t="s">
        <v>281</v>
      </c>
      <c r="G24" s="14" t="s">
        <v>244</v>
      </c>
      <c r="H24" s="14" t="s">
        <v>121</v>
      </c>
      <c r="I24" s="5"/>
      <c r="J24" s="25"/>
      <c r="K24" s="5"/>
      <c r="L24" s="62" t="s">
        <v>307</v>
      </c>
    </row>
    <row r="25" spans="1:12" s="1" customFormat="1" ht="30">
      <c r="A25" s="17">
        <v>22</v>
      </c>
      <c r="B25" s="23">
        <v>46157</v>
      </c>
      <c r="C25" s="23" t="s">
        <v>240</v>
      </c>
      <c r="D25" s="1" t="s">
        <v>308</v>
      </c>
      <c r="E25" s="5" t="s">
        <v>309</v>
      </c>
      <c r="F25" s="52" t="s">
        <v>310</v>
      </c>
      <c r="G25" s="14" t="s">
        <v>244</v>
      </c>
      <c r="H25" s="14" t="s">
        <v>121</v>
      </c>
      <c r="I25" s="5"/>
      <c r="J25" s="25"/>
      <c r="K25" s="5"/>
      <c r="L25" s="62" t="s">
        <v>311</v>
      </c>
    </row>
    <row r="26" spans="1:12" s="1" customFormat="1" ht="30">
      <c r="A26" s="17">
        <v>23</v>
      </c>
      <c r="B26" s="23">
        <v>46161</v>
      </c>
      <c r="C26" s="23" t="s">
        <v>240</v>
      </c>
      <c r="D26" s="5" t="s">
        <v>312</v>
      </c>
      <c r="E26" s="14" t="s">
        <v>313</v>
      </c>
      <c r="F26" s="67" t="s">
        <v>314</v>
      </c>
      <c r="G26" s="14" t="s">
        <v>244</v>
      </c>
      <c r="H26" s="14" t="s">
        <v>121</v>
      </c>
      <c r="I26" s="5"/>
      <c r="J26" s="25"/>
      <c r="K26" s="5"/>
      <c r="L26" s="62" t="s">
        <v>315</v>
      </c>
    </row>
    <row r="27" spans="1:12" s="1" customFormat="1">
      <c r="A27" s="17">
        <v>24</v>
      </c>
      <c r="B27" s="23">
        <v>46161</v>
      </c>
      <c r="C27" s="23" t="s">
        <v>240</v>
      </c>
      <c r="D27" s="5" t="s">
        <v>316</v>
      </c>
      <c r="E27" s="14" t="s">
        <v>317</v>
      </c>
      <c r="F27" s="67" t="s">
        <v>318</v>
      </c>
      <c r="G27" s="14" t="s">
        <v>319</v>
      </c>
      <c r="H27" s="14" t="s">
        <v>121</v>
      </c>
      <c r="I27" s="5"/>
      <c r="J27" s="25"/>
      <c r="K27" s="5"/>
      <c r="L27" s="62" t="s">
        <v>320</v>
      </c>
    </row>
    <row r="28" spans="1:12" s="1" customFormat="1">
      <c r="A28" s="17">
        <v>25</v>
      </c>
      <c r="B28" s="23">
        <v>46161</v>
      </c>
      <c r="C28" s="23" t="s">
        <v>240</v>
      </c>
      <c r="D28" s="5" t="s">
        <v>321</v>
      </c>
      <c r="E28" s="14" t="s">
        <v>322</v>
      </c>
      <c r="F28" s="67" t="s">
        <v>323</v>
      </c>
      <c r="G28" s="14" t="s">
        <v>244</v>
      </c>
      <c r="H28" s="14" t="s">
        <v>121</v>
      </c>
      <c r="I28" s="5"/>
      <c r="J28" s="25"/>
      <c r="K28" s="5"/>
      <c r="L28" s="62" t="s">
        <v>324</v>
      </c>
    </row>
    <row r="29" spans="1:12" s="1" customFormat="1" ht="30">
      <c r="A29" s="17">
        <v>26</v>
      </c>
      <c r="B29" s="23">
        <v>46161</v>
      </c>
      <c r="C29" s="23" t="s">
        <v>240</v>
      </c>
      <c r="D29" s="5" t="s">
        <v>325</v>
      </c>
      <c r="E29" s="14" t="s">
        <v>326</v>
      </c>
      <c r="F29" s="52" t="s">
        <v>327</v>
      </c>
      <c r="G29" s="14" t="s">
        <v>244</v>
      </c>
      <c r="H29" s="14" t="s">
        <v>121</v>
      </c>
      <c r="I29" s="5"/>
      <c r="J29" s="25"/>
      <c r="K29" s="5"/>
      <c r="L29" s="62" t="s">
        <v>328</v>
      </c>
    </row>
    <row r="30" spans="1:12" s="1" customFormat="1" ht="30">
      <c r="A30" s="17">
        <v>27</v>
      </c>
      <c r="B30" s="23">
        <v>46161</v>
      </c>
      <c r="C30" s="23" t="s">
        <v>240</v>
      </c>
      <c r="D30" s="5" t="s">
        <v>329</v>
      </c>
      <c r="E30" s="14" t="s">
        <v>330</v>
      </c>
      <c r="F30" s="52" t="s">
        <v>331</v>
      </c>
      <c r="G30" s="14" t="s">
        <v>244</v>
      </c>
      <c r="H30" s="14" t="s">
        <v>121</v>
      </c>
      <c r="I30" s="5"/>
      <c r="J30" s="25"/>
      <c r="K30" s="5"/>
      <c r="L30" s="62" t="s">
        <v>332</v>
      </c>
    </row>
    <row r="31" spans="1:12" s="1" customFormat="1" ht="30.75">
      <c r="A31" s="17">
        <v>28</v>
      </c>
      <c r="B31" s="23">
        <v>46161</v>
      </c>
      <c r="C31" s="23" t="s">
        <v>240</v>
      </c>
      <c r="D31" s="5" t="s">
        <v>333</v>
      </c>
      <c r="E31" s="14" t="s">
        <v>334</v>
      </c>
      <c r="F31" s="52" t="s">
        <v>335</v>
      </c>
      <c r="G31" s="14" t="s">
        <v>244</v>
      </c>
      <c r="H31" s="14" t="s">
        <v>121</v>
      </c>
      <c r="I31" s="5"/>
      <c r="J31" s="25"/>
      <c r="K31" s="5"/>
      <c r="L31" s="62" t="s">
        <v>336</v>
      </c>
    </row>
    <row r="32" spans="1:12" s="1" customFormat="1">
      <c r="A32" s="17">
        <v>29</v>
      </c>
      <c r="B32" s="23">
        <v>46162</v>
      </c>
      <c r="C32" s="23" t="s">
        <v>240</v>
      </c>
      <c r="D32" s="5" t="s">
        <v>337</v>
      </c>
      <c r="E32" s="14" t="s">
        <v>338</v>
      </c>
      <c r="F32" s="52" t="s">
        <v>339</v>
      </c>
      <c r="G32" s="14" t="s">
        <v>244</v>
      </c>
      <c r="H32" s="14" t="s">
        <v>121</v>
      </c>
      <c r="I32" s="5"/>
      <c r="J32" s="25"/>
      <c r="K32" s="5"/>
      <c r="L32" s="62" t="s">
        <v>340</v>
      </c>
    </row>
    <row r="33" spans="1:12" s="1" customFormat="1">
      <c r="A33" s="17">
        <v>30</v>
      </c>
      <c r="B33" s="23">
        <v>46162</v>
      </c>
      <c r="C33" s="23" t="s">
        <v>69</v>
      </c>
      <c r="D33" s="14" t="s">
        <v>64</v>
      </c>
      <c r="E33" s="14" t="s">
        <v>65</v>
      </c>
      <c r="F33" s="52"/>
      <c r="G33" s="14" t="s">
        <v>244</v>
      </c>
      <c r="H33" s="14" t="s">
        <v>72</v>
      </c>
      <c r="I33" s="5" t="s">
        <v>341</v>
      </c>
      <c r="J33" s="25"/>
      <c r="K33" s="5"/>
      <c r="L33" s="62" t="s">
        <v>342</v>
      </c>
    </row>
    <row r="34" spans="1:12" s="1" customFormat="1">
      <c r="A34" s="17">
        <v>30</v>
      </c>
      <c r="B34" s="23">
        <v>46163</v>
      </c>
      <c r="C34" s="23" t="s">
        <v>69</v>
      </c>
      <c r="D34" s="5" t="s">
        <v>260</v>
      </c>
      <c r="E34" s="14" t="s">
        <v>261</v>
      </c>
      <c r="F34" s="52" t="s">
        <v>262</v>
      </c>
      <c r="G34" s="14" t="s">
        <v>244</v>
      </c>
      <c r="H34" s="14" t="s">
        <v>121</v>
      </c>
      <c r="I34" s="5"/>
      <c r="J34" s="25"/>
      <c r="K34" s="5"/>
      <c r="L34" s="62" t="s">
        <v>343</v>
      </c>
    </row>
    <row r="35" spans="1:12" s="1" customFormat="1">
      <c r="A35" s="17">
        <v>32</v>
      </c>
      <c r="B35" s="23">
        <v>46167</v>
      </c>
      <c r="C35" s="23" t="s">
        <v>69</v>
      </c>
      <c r="D35" s="14" t="s">
        <v>301</v>
      </c>
      <c r="E35" s="14" t="s">
        <v>283</v>
      </c>
      <c r="F35" s="52"/>
      <c r="G35" s="14" t="s">
        <v>344</v>
      </c>
      <c r="H35" s="14" t="s">
        <v>121</v>
      </c>
      <c r="I35" s="5"/>
      <c r="J35" s="25"/>
      <c r="K35" s="5"/>
      <c r="L35" s="62" t="s">
        <v>345</v>
      </c>
    </row>
    <row r="36" spans="1:12" s="1" customFormat="1">
      <c r="A36" s="17"/>
      <c r="B36" s="35"/>
      <c r="C36" s="35"/>
      <c r="D36" s="37"/>
      <c r="E36" s="36"/>
      <c r="F36" s="37"/>
      <c r="G36" s="36"/>
      <c r="H36" s="36"/>
      <c r="I36" s="37"/>
      <c r="J36" s="38"/>
      <c r="K36" s="37"/>
      <c r="L36" s="37"/>
    </row>
    <row r="37" spans="1:12" s="1" customFormat="1">
      <c r="A37" s="24"/>
      <c r="B37" s="23"/>
      <c r="C37" s="23"/>
      <c r="D37" s="5"/>
      <c r="E37" s="14"/>
      <c r="F37" s="5"/>
      <c r="G37" s="14"/>
      <c r="H37" s="14"/>
      <c r="I37" s="5"/>
      <c r="J37" s="25">
        <f>SUM(J4:J36)</f>
        <v>798000</v>
      </c>
      <c r="K37" s="25">
        <f>SUM(K4:K36)</f>
        <v>0</v>
      </c>
      <c r="L37" s="5"/>
    </row>
    <row r="38" spans="1:12" s="1" customFormat="1">
      <c r="A38" s="17"/>
      <c r="B38" s="23"/>
      <c r="C38" s="23"/>
      <c r="D38" s="5"/>
      <c r="E38" s="14"/>
      <c r="F38" s="52"/>
      <c r="G38" s="8"/>
      <c r="H38" s="14"/>
      <c r="I38" s="5"/>
      <c r="J38" s="5"/>
      <c r="K38" s="5"/>
      <c r="L38" s="5"/>
    </row>
    <row r="39" spans="1:12" s="1" customFormat="1">
      <c r="A39" s="17"/>
      <c r="B39" s="23"/>
      <c r="C39" s="23"/>
      <c r="D39" s="5"/>
      <c r="E39" s="14"/>
      <c r="F39" s="52"/>
      <c r="G39" s="8"/>
      <c r="H39" s="14"/>
      <c r="I39" s="5"/>
      <c r="K39" s="5"/>
      <c r="L39" s="5"/>
    </row>
    <row r="40" spans="1:12" s="1" customFormat="1" ht="18.75" customHeight="1">
      <c r="A40" s="15" t="s">
        <v>142</v>
      </c>
      <c r="B40" s="23"/>
      <c r="C40" s="23"/>
      <c r="D40" s="5" t="s">
        <v>44</v>
      </c>
      <c r="E40" s="14" t="s">
        <v>346</v>
      </c>
      <c r="F40" s="5" t="s">
        <v>47</v>
      </c>
      <c r="G40" s="8" t="s">
        <v>347</v>
      </c>
      <c r="H40" s="14"/>
      <c r="I40" s="5"/>
      <c r="J40" s="25"/>
      <c r="K40" s="5"/>
      <c r="L40" s="5"/>
    </row>
    <row r="41" spans="1:12" s="1" customFormat="1" hidden="1">
      <c r="A41" s="57" t="s">
        <v>348</v>
      </c>
      <c r="B41" s="58"/>
      <c r="C41" s="58"/>
      <c r="D41" s="65" t="s">
        <v>349</v>
      </c>
      <c r="E41" s="59" t="s">
        <v>350</v>
      </c>
      <c r="F41" s="65" t="s">
        <v>351</v>
      </c>
      <c r="G41" s="56"/>
      <c r="H41" s="14"/>
      <c r="I41" s="5"/>
      <c r="J41" s="25"/>
      <c r="K41" s="5"/>
      <c r="L41" s="5"/>
    </row>
    <row r="42" spans="1:12" s="1" customFormat="1" hidden="1">
      <c r="A42" s="60" t="s">
        <v>352</v>
      </c>
      <c r="B42" s="59"/>
      <c r="C42" s="60"/>
      <c r="D42" s="66" t="s">
        <v>353</v>
      </c>
      <c r="E42" s="60" t="s">
        <v>350</v>
      </c>
      <c r="F42" s="65" t="s">
        <v>351</v>
      </c>
      <c r="G42" s="56"/>
      <c r="H42" s="14"/>
      <c r="I42" s="5"/>
      <c r="J42" s="25"/>
      <c r="K42" s="5"/>
      <c r="L42" s="5"/>
    </row>
    <row r="43" spans="1:12" s="1" customFormat="1" hidden="1">
      <c r="A43" s="60" t="s">
        <v>354</v>
      </c>
      <c r="B43" s="59"/>
      <c r="C43" s="60"/>
      <c r="D43" s="66" t="s">
        <v>355</v>
      </c>
      <c r="E43" s="60"/>
      <c r="F43" s="65" t="s">
        <v>351</v>
      </c>
      <c r="G43" s="56"/>
      <c r="H43" s="14"/>
      <c r="I43" s="5"/>
      <c r="J43" s="25"/>
      <c r="K43" s="5"/>
      <c r="L43" s="5"/>
    </row>
    <row r="44" spans="1:12" s="1" customFormat="1" hidden="1">
      <c r="B44" s="14"/>
      <c r="D44" s="64"/>
      <c r="F44" s="64"/>
      <c r="G44" s="14"/>
      <c r="H44" s="14"/>
      <c r="I44" s="5"/>
      <c r="J44" s="25"/>
      <c r="K44" s="5"/>
      <c r="L44" s="5"/>
    </row>
    <row r="45" spans="1:12" s="1" customFormat="1" hidden="1">
      <c r="A45" s="24" t="s">
        <v>356</v>
      </c>
      <c r="B45" s="23"/>
      <c r="C45" s="23"/>
      <c r="D45" s="5" t="s">
        <v>357</v>
      </c>
      <c r="E45" s="14" t="s">
        <v>350</v>
      </c>
      <c r="F45" s="5" t="s">
        <v>358</v>
      </c>
      <c r="G45" s="14" t="s">
        <v>359</v>
      </c>
      <c r="H45" s="14"/>
      <c r="I45" s="5"/>
      <c r="J45" s="25"/>
      <c r="K45" s="5"/>
      <c r="L45" s="5"/>
    </row>
    <row r="46" spans="1:12" s="1" customFormat="1" hidden="1">
      <c r="A46" s="24" t="s">
        <v>360</v>
      </c>
      <c r="B46" s="23"/>
      <c r="C46" s="23"/>
      <c r="D46" s="5" t="s">
        <v>361</v>
      </c>
      <c r="E46" s="14" t="s">
        <v>350</v>
      </c>
      <c r="F46" s="5" t="s">
        <v>358</v>
      </c>
      <c r="G46" s="14"/>
      <c r="H46" s="14"/>
      <c r="I46" s="5"/>
      <c r="J46" s="25"/>
      <c r="K46" s="5"/>
      <c r="L46" s="5"/>
    </row>
    <row r="47" spans="1:12" s="1" customFormat="1" hidden="1">
      <c r="A47" s="24" t="s">
        <v>362</v>
      </c>
      <c r="B47" s="23"/>
      <c r="C47" s="23"/>
      <c r="D47" s="5" t="s">
        <v>363</v>
      </c>
      <c r="E47" s="14" t="s">
        <v>350</v>
      </c>
      <c r="F47" s="5" t="s">
        <v>358</v>
      </c>
      <c r="G47" s="14"/>
      <c r="H47" s="14"/>
      <c r="I47" s="5"/>
      <c r="J47" s="25"/>
      <c r="K47" s="5"/>
      <c r="L47" s="5"/>
    </row>
    <row r="48" spans="1:12" s="1" customFormat="1" hidden="1">
      <c r="A48" s="24" t="s">
        <v>364</v>
      </c>
      <c r="B48" s="23"/>
      <c r="C48" s="23"/>
      <c r="D48" s="5" t="s">
        <v>365</v>
      </c>
      <c r="E48" s="14" t="s">
        <v>350</v>
      </c>
      <c r="F48" s="5" t="s">
        <v>358</v>
      </c>
      <c r="G48" s="14"/>
      <c r="H48" s="14"/>
      <c r="I48" s="5"/>
      <c r="J48" s="25"/>
      <c r="K48" s="5"/>
      <c r="L48" s="5"/>
    </row>
    <row r="49" spans="1:12" s="1" customFormat="1" hidden="1">
      <c r="A49" s="24" t="s">
        <v>308</v>
      </c>
      <c r="B49" s="23"/>
      <c r="C49" s="23"/>
      <c r="D49" s="5" t="s">
        <v>366</v>
      </c>
      <c r="E49" s="14" t="s">
        <v>350</v>
      </c>
      <c r="F49" s="5" t="s">
        <v>358</v>
      </c>
      <c r="G49" s="14"/>
      <c r="H49" s="14"/>
      <c r="J49" s="25"/>
      <c r="K49" s="5"/>
      <c r="L49" s="5"/>
    </row>
    <row r="50" spans="1:12" s="1" customFormat="1" hidden="1">
      <c r="A50" s="24" t="s">
        <v>367</v>
      </c>
      <c r="B50" s="23"/>
      <c r="C50" s="23"/>
      <c r="D50" s="5"/>
      <c r="E50" s="14" t="s">
        <v>350</v>
      </c>
      <c r="F50" s="5" t="s">
        <v>368</v>
      </c>
      <c r="G50" s="14"/>
      <c r="H50" s="14"/>
      <c r="J50" s="25"/>
      <c r="K50" s="5"/>
      <c r="L50" s="5"/>
    </row>
    <row r="51" spans="1:12" s="1" customFormat="1" hidden="1">
      <c r="B51" s="14"/>
      <c r="D51" s="64" t="s">
        <v>369</v>
      </c>
      <c r="E51" s="1" t="s">
        <v>370</v>
      </c>
      <c r="F51" s="64" t="s">
        <v>358</v>
      </c>
      <c r="I51" s="5"/>
      <c r="J51" s="25"/>
      <c r="K51" s="5"/>
      <c r="L51" s="5"/>
    </row>
    <row r="52" spans="1:12" s="1" customFormat="1" hidden="1">
      <c r="B52" s="14"/>
      <c r="D52" s="64" t="s">
        <v>371</v>
      </c>
      <c r="E52" s="1" t="s">
        <v>370</v>
      </c>
      <c r="F52" s="64" t="s">
        <v>358</v>
      </c>
      <c r="I52" s="5">
        <v>5</v>
      </c>
      <c r="J52" s="25"/>
      <c r="K52" s="5"/>
      <c r="L52" s="5"/>
    </row>
    <row r="53" spans="1:12" s="1" customFormat="1" hidden="1">
      <c r="A53" s="24"/>
      <c r="B53" s="23"/>
      <c r="C53" s="23"/>
      <c r="D53" s="64" t="s">
        <v>372</v>
      </c>
      <c r="E53" s="1" t="s">
        <v>370</v>
      </c>
      <c r="F53" s="64" t="s">
        <v>358</v>
      </c>
      <c r="J53" s="25"/>
      <c r="K53" s="5"/>
      <c r="L53" s="5"/>
    </row>
    <row r="54" spans="1:12" s="1" customFormat="1" hidden="1">
      <c r="A54" s="24"/>
      <c r="B54" s="23"/>
      <c r="C54" s="23"/>
      <c r="D54" s="64" t="s">
        <v>265</v>
      </c>
      <c r="E54" s="1" t="s">
        <v>370</v>
      </c>
      <c r="F54" s="64" t="s">
        <v>368</v>
      </c>
      <c r="J54" s="25"/>
      <c r="K54" s="5"/>
      <c r="L54" s="5"/>
    </row>
    <row r="55" spans="1:12" s="1" customFormat="1" hidden="1">
      <c r="A55" s="24" t="s">
        <v>373</v>
      </c>
      <c r="B55" s="23"/>
      <c r="C55" s="23"/>
      <c r="D55" s="64" t="s">
        <v>374</v>
      </c>
      <c r="F55" s="64"/>
      <c r="G55" s="61" t="s">
        <v>359</v>
      </c>
      <c r="J55" s="25"/>
      <c r="K55" s="5"/>
      <c r="L55" s="5"/>
    </row>
    <row r="56" spans="1:12" s="1" customFormat="1" hidden="1">
      <c r="B56" s="14"/>
      <c r="D56" s="64"/>
      <c r="F56" s="64"/>
      <c r="J56" s="25"/>
      <c r="K56" s="5"/>
      <c r="L56" s="5"/>
    </row>
    <row r="57" spans="1:12" s="1" customFormat="1" ht="30" hidden="1">
      <c r="A57" s="24"/>
      <c r="B57" s="23"/>
      <c r="C57" s="23"/>
      <c r="D57" s="55" t="s">
        <v>375</v>
      </c>
      <c r="E57" s="54" t="s">
        <v>350</v>
      </c>
      <c r="F57" s="55" t="s">
        <v>376</v>
      </c>
      <c r="G57" s="54" t="s">
        <v>377</v>
      </c>
      <c r="H57" s="54"/>
      <c r="I57" s="55"/>
      <c r="J57" s="25"/>
      <c r="K57" s="5"/>
      <c r="L57" s="5"/>
    </row>
    <row r="58" spans="1:12" s="1" customFormat="1" hidden="1">
      <c r="A58" s="24"/>
      <c r="B58" s="23"/>
      <c r="C58" s="23"/>
      <c r="D58" s="55" t="s">
        <v>378</v>
      </c>
      <c r="E58" s="54" t="s">
        <v>350</v>
      </c>
      <c r="F58" s="55" t="s">
        <v>376</v>
      </c>
      <c r="G58" s="54" t="s">
        <v>379</v>
      </c>
      <c r="H58" s="54"/>
      <c r="I58" s="55"/>
      <c r="J58" s="25"/>
      <c r="K58" s="5"/>
      <c r="L58" s="5"/>
    </row>
    <row r="59" spans="1:12" s="1" customFormat="1" ht="30" hidden="1">
      <c r="A59" s="24"/>
      <c r="B59" s="23"/>
      <c r="C59" s="23"/>
      <c r="D59" s="55" t="s">
        <v>380</v>
      </c>
      <c r="E59" s="54" t="s">
        <v>350</v>
      </c>
      <c r="F59" s="55" t="s">
        <v>376</v>
      </c>
      <c r="G59" s="54" t="s">
        <v>379</v>
      </c>
      <c r="H59" s="54"/>
      <c r="I59" s="55"/>
      <c r="J59" s="25"/>
      <c r="K59" s="5"/>
      <c r="L59" s="5"/>
    </row>
    <row r="60" spans="1:12" s="1" customFormat="1" ht="30" hidden="1">
      <c r="A60" s="24"/>
      <c r="B60" s="23"/>
      <c r="C60" s="23"/>
      <c r="D60" s="55" t="s">
        <v>381</v>
      </c>
      <c r="E60" s="54" t="s">
        <v>350</v>
      </c>
      <c r="F60" s="55" t="s">
        <v>376</v>
      </c>
      <c r="G60" s="54" t="s">
        <v>379</v>
      </c>
      <c r="H60" s="54"/>
      <c r="I60" s="55"/>
      <c r="J60" s="25"/>
      <c r="K60" s="5"/>
      <c r="L60" s="5"/>
    </row>
    <row r="61" spans="1:12" s="1" customFormat="1" hidden="1">
      <c r="B61" s="14"/>
      <c r="D61" s="64"/>
      <c r="F61" s="64"/>
      <c r="I61" s="5"/>
      <c r="J61" s="25"/>
      <c r="K61" s="5"/>
      <c r="L61" s="5"/>
    </row>
    <row r="62" spans="1:12" s="1" customFormat="1" hidden="1">
      <c r="A62" s="24" t="s">
        <v>268</v>
      </c>
      <c r="B62" s="23"/>
      <c r="C62" s="23"/>
      <c r="D62" s="5" t="s">
        <v>382</v>
      </c>
      <c r="E62" s="14"/>
      <c r="F62" s="5" t="s">
        <v>383</v>
      </c>
      <c r="G62" s="14"/>
      <c r="H62" s="14"/>
      <c r="I62" s="5"/>
      <c r="J62" s="25"/>
      <c r="K62" s="5"/>
      <c r="L62" s="5"/>
    </row>
    <row r="63" spans="1:12" s="1" customFormat="1" hidden="1">
      <c r="A63" s="24" t="s">
        <v>384</v>
      </c>
      <c r="B63" s="23"/>
      <c r="C63" s="23"/>
      <c r="D63" s="5" t="s">
        <v>385</v>
      </c>
      <c r="E63" s="14"/>
      <c r="F63" s="5"/>
      <c r="G63" s="14"/>
      <c r="H63" s="14"/>
      <c r="I63" s="5"/>
      <c r="J63" s="25"/>
      <c r="K63" s="5"/>
      <c r="L63" s="5"/>
    </row>
    <row r="64" spans="1:12" s="1" customFormat="1" hidden="1">
      <c r="A64" s="24" t="s">
        <v>241</v>
      </c>
      <c r="B64" s="26"/>
      <c r="C64" s="23"/>
      <c r="D64" s="5" t="s">
        <v>386</v>
      </c>
      <c r="E64" s="14"/>
      <c r="F64" s="52" t="s">
        <v>243</v>
      </c>
      <c r="G64" s="14"/>
      <c r="H64" s="14"/>
      <c r="I64" s="5"/>
      <c r="J64" s="25"/>
      <c r="K64" s="5"/>
      <c r="L64" s="5"/>
    </row>
    <row r="65" spans="1:12" s="1" customFormat="1" hidden="1">
      <c r="B65" s="17"/>
      <c r="C65" s="17"/>
      <c r="D65" s="5"/>
      <c r="E65" s="14"/>
      <c r="F65" s="5"/>
      <c r="G65" s="14"/>
      <c r="H65" s="14"/>
      <c r="I65" s="5"/>
      <c r="J65" s="5"/>
      <c r="K65" s="5"/>
      <c r="L65" s="5"/>
    </row>
    <row r="66" spans="1:12" s="1" customFormat="1" hidden="1">
      <c r="A66" s="1" t="s">
        <v>387</v>
      </c>
      <c r="B66" s="17"/>
      <c r="C66" s="17"/>
      <c r="D66" s="5"/>
      <c r="E66" s="14"/>
      <c r="F66" s="5"/>
      <c r="G66" s="14"/>
      <c r="H66" s="14"/>
      <c r="I66" s="5"/>
      <c r="J66" s="5"/>
      <c r="K66" s="5"/>
      <c r="L66" s="5"/>
    </row>
    <row r="67" spans="1:12" s="1" customFormat="1" hidden="1">
      <c r="A67" s="1" t="s">
        <v>388</v>
      </c>
      <c r="B67" s="17"/>
      <c r="C67" s="17"/>
      <c r="D67" s="5"/>
      <c r="E67" s="14"/>
      <c r="F67" s="5"/>
      <c r="G67" s="14"/>
      <c r="H67" s="14"/>
      <c r="I67" s="5"/>
      <c r="J67" s="5"/>
      <c r="K67" s="5"/>
      <c r="L67" s="5"/>
    </row>
    <row r="68" spans="1:12" s="1" customFormat="1" hidden="1">
      <c r="B68" s="17"/>
      <c r="C68" s="17"/>
      <c r="D68" s="5"/>
      <c r="E68" s="14"/>
      <c r="F68" s="5"/>
      <c r="G68" s="14"/>
      <c r="H68" s="14"/>
      <c r="I68" s="5"/>
      <c r="J68" s="5"/>
      <c r="K68" s="5"/>
      <c r="L68" s="5"/>
    </row>
    <row r="69" spans="1:12" s="1" customFormat="1">
      <c r="B69" s="17"/>
      <c r="C69" s="17"/>
      <c r="D69" s="5"/>
      <c r="E69" s="14"/>
      <c r="F69" s="5"/>
      <c r="G69" s="14"/>
      <c r="H69" s="14"/>
      <c r="I69" s="5"/>
      <c r="J69" s="5"/>
      <c r="K69" s="5"/>
      <c r="L69" s="5"/>
    </row>
    <row r="70" spans="1:12" s="1" customFormat="1" ht="45">
      <c r="B70" s="17"/>
      <c r="C70" s="23" t="s">
        <v>97</v>
      </c>
      <c r="D70" s="5" t="s">
        <v>389</v>
      </c>
      <c r="E70" s="14" t="s">
        <v>363</v>
      </c>
      <c r="F70" s="52" t="s">
        <v>390</v>
      </c>
      <c r="G70" s="14" t="s">
        <v>244</v>
      </c>
      <c r="H70" s="14"/>
      <c r="I70" s="5"/>
      <c r="J70" s="25"/>
      <c r="K70" s="5"/>
      <c r="L70" s="62" t="s">
        <v>391</v>
      </c>
    </row>
    <row r="71" spans="1:12" s="1" customFormat="1">
      <c r="B71" s="17"/>
      <c r="C71" s="17"/>
      <c r="D71" s="5"/>
      <c r="E71" s="14"/>
      <c r="F71" s="5"/>
      <c r="G71" s="14"/>
      <c r="H71" s="14"/>
      <c r="I71" s="5"/>
      <c r="J71" s="5"/>
      <c r="K71" s="5"/>
      <c r="L71" s="5"/>
    </row>
    <row r="72" spans="1:12" s="1" customFormat="1">
      <c r="B72" s="17"/>
      <c r="C72" s="17"/>
      <c r="D72" s="5"/>
      <c r="E72" s="14"/>
      <c r="F72" s="5"/>
      <c r="G72" s="14"/>
      <c r="H72" s="14"/>
      <c r="I72" s="5"/>
      <c r="J72" s="5"/>
      <c r="K72" s="5"/>
      <c r="L72" s="5"/>
    </row>
    <row r="73" spans="1:12" s="1" customFormat="1">
      <c r="B73" s="17"/>
      <c r="C73" s="17"/>
      <c r="D73" s="5"/>
      <c r="E73" s="14"/>
      <c r="F73" s="5"/>
      <c r="G73" s="14"/>
      <c r="H73" s="14"/>
      <c r="I73" s="5"/>
      <c r="J73" s="5"/>
      <c r="K73" s="5"/>
      <c r="L73" s="5"/>
    </row>
    <row r="74" spans="1:12" s="1" customFormat="1">
      <c r="B74" s="17"/>
      <c r="C74" s="17"/>
      <c r="D74" s="5"/>
      <c r="E74" s="14"/>
      <c r="F74" s="5"/>
      <c r="G74" s="14"/>
      <c r="H74" s="14"/>
      <c r="I74" s="5"/>
      <c r="J74" s="5"/>
      <c r="K74" s="5"/>
      <c r="L74" s="5"/>
    </row>
    <row r="75" spans="1:12" s="1" customFormat="1">
      <c r="B75" s="17"/>
      <c r="C75" s="17"/>
      <c r="D75" s="5"/>
      <c r="E75" s="14"/>
      <c r="F75" s="5"/>
      <c r="G75" s="14"/>
      <c r="H75" s="14"/>
      <c r="I75" s="5"/>
      <c r="J75" s="5"/>
      <c r="K75" s="5"/>
      <c r="L75" s="5"/>
    </row>
    <row r="76" spans="1:12" s="1" customFormat="1">
      <c r="B76" s="17"/>
      <c r="C76" s="17"/>
      <c r="D76" s="5"/>
      <c r="E76" s="14"/>
      <c r="F76" s="5"/>
      <c r="G76" s="14"/>
      <c r="H76" s="14"/>
      <c r="I76" s="5"/>
      <c r="J76" s="5"/>
      <c r="K76" s="5"/>
      <c r="L76" s="5"/>
    </row>
    <row r="77" spans="1:12" s="1" customFormat="1">
      <c r="B77" s="17"/>
      <c r="C77" s="17"/>
      <c r="D77" s="5"/>
      <c r="E77" s="14"/>
      <c r="F77" s="5"/>
      <c r="G77" s="14"/>
      <c r="H77" s="14"/>
      <c r="I77" s="5"/>
      <c r="J77" s="5"/>
      <c r="K77" s="5"/>
      <c r="L77" s="5"/>
    </row>
    <row r="78" spans="1:12" s="1" customFormat="1">
      <c r="B78" s="17"/>
      <c r="C78" s="17"/>
      <c r="D78" s="5"/>
      <c r="E78" s="14"/>
      <c r="F78" s="5"/>
      <c r="G78" s="14"/>
      <c r="H78" s="14"/>
      <c r="I78" s="5"/>
      <c r="J78" s="5"/>
      <c r="K78" s="5"/>
      <c r="L78" s="5"/>
    </row>
    <row r="79" spans="1:12" s="1" customFormat="1">
      <c r="B79" s="17"/>
      <c r="C79" s="17"/>
      <c r="D79" s="5"/>
      <c r="E79" s="14"/>
      <c r="F79" s="5"/>
      <c r="G79" s="14"/>
      <c r="H79" s="14"/>
      <c r="I79" s="5"/>
      <c r="J79" s="5"/>
      <c r="K79" s="5"/>
      <c r="L79" s="5"/>
    </row>
    <row r="80" spans="1:12" s="1" customFormat="1">
      <c r="B80" s="17"/>
      <c r="C80" s="17"/>
      <c r="D80" s="5"/>
      <c r="E80" s="14"/>
      <c r="F80" s="5"/>
      <c r="G80" s="14"/>
      <c r="H80" s="14"/>
      <c r="I80" s="5"/>
      <c r="J80" s="5"/>
      <c r="K80" s="5"/>
      <c r="L80" s="5"/>
    </row>
    <row r="81" spans="2:12" s="1" customFormat="1">
      <c r="B81" s="17"/>
      <c r="C81" s="17"/>
      <c r="D81" s="5"/>
      <c r="E81" s="14"/>
      <c r="F81" s="5"/>
      <c r="G81" s="14"/>
      <c r="H81" s="14"/>
      <c r="I81" s="5"/>
      <c r="J81" s="5"/>
      <c r="K81" s="5"/>
      <c r="L81" s="5"/>
    </row>
    <row r="82" spans="2:12" s="1" customFormat="1">
      <c r="B82" s="17"/>
      <c r="C82" s="17"/>
      <c r="D82" s="5"/>
      <c r="E82" s="14"/>
      <c r="F82" s="5"/>
      <c r="G82" s="14"/>
      <c r="H82" s="14"/>
      <c r="I82" s="5"/>
      <c r="J82" s="5"/>
      <c r="K82" s="5"/>
      <c r="L82" s="5"/>
    </row>
    <row r="83" spans="2:12" s="1" customFormat="1">
      <c r="B83" s="17"/>
      <c r="C83" s="17"/>
      <c r="D83" s="5"/>
      <c r="E83" s="14"/>
      <c r="F83" s="5"/>
      <c r="G83" s="14"/>
      <c r="H83" s="14"/>
      <c r="I83" s="5"/>
      <c r="J83" s="5"/>
      <c r="K83" s="5"/>
      <c r="L83" s="5"/>
    </row>
    <row r="84" spans="2:12" s="1" customFormat="1">
      <c r="B84" s="17"/>
      <c r="C84" s="17"/>
      <c r="D84" s="5"/>
      <c r="E84" s="14"/>
      <c r="F84" s="5"/>
      <c r="G84" s="14"/>
      <c r="H84" s="14"/>
      <c r="I84" s="5"/>
      <c r="J84" s="5"/>
      <c r="K84" s="5"/>
      <c r="L84" s="5"/>
    </row>
    <row r="85" spans="2:12" s="1" customFormat="1">
      <c r="B85" s="17"/>
      <c r="C85" s="17"/>
      <c r="D85" s="5"/>
      <c r="E85" s="14"/>
      <c r="F85" s="5"/>
      <c r="G85" s="14"/>
      <c r="H85" s="14"/>
      <c r="I85" s="5"/>
      <c r="J85" s="5"/>
      <c r="K85" s="5"/>
      <c r="L85" s="5"/>
    </row>
    <row r="86" spans="2:12" s="1" customFormat="1">
      <c r="B86" s="17"/>
      <c r="C86" s="17"/>
      <c r="D86" s="5"/>
      <c r="E86" s="14"/>
      <c r="F86" s="5"/>
      <c r="G86" s="14"/>
      <c r="H86" s="14"/>
      <c r="I86" s="5"/>
      <c r="J86" s="5"/>
      <c r="K86" s="5"/>
      <c r="L86" s="5"/>
    </row>
    <row r="87" spans="2:12" s="1" customFormat="1">
      <c r="B87" s="17"/>
      <c r="C87" s="17"/>
      <c r="D87" s="5"/>
      <c r="E87" s="14"/>
      <c r="F87" s="5"/>
      <c r="G87" s="14"/>
      <c r="H87" s="14"/>
      <c r="I87" s="5"/>
      <c r="J87" s="5"/>
      <c r="K87" s="5"/>
      <c r="L87" s="5"/>
    </row>
    <row r="88" spans="2:12" s="1" customFormat="1">
      <c r="B88" s="17"/>
      <c r="C88" s="17"/>
      <c r="D88" s="5"/>
      <c r="E88" s="14"/>
      <c r="F88" s="5"/>
      <c r="G88" s="14"/>
      <c r="H88" s="14"/>
      <c r="I88" s="5"/>
      <c r="J88" s="5"/>
      <c r="K88" s="5"/>
      <c r="L88" s="5"/>
    </row>
    <row r="89" spans="2:12" s="1" customFormat="1">
      <c r="B89" s="17"/>
      <c r="C89" s="17"/>
      <c r="D89" s="5"/>
      <c r="E89" s="14"/>
      <c r="F89" s="5"/>
      <c r="G89" s="14"/>
      <c r="H89" s="14"/>
      <c r="I89" s="5"/>
      <c r="J89" s="5"/>
      <c r="K89" s="5"/>
      <c r="L89" s="5"/>
    </row>
    <row r="90" spans="2:12" s="1" customFormat="1">
      <c r="B90" s="17"/>
      <c r="C90" s="17"/>
      <c r="D90" s="5"/>
      <c r="E90" s="14"/>
      <c r="F90" s="5"/>
      <c r="G90" s="14"/>
      <c r="H90" s="14"/>
      <c r="I90" s="5"/>
      <c r="J90" s="5"/>
      <c r="K90" s="5"/>
      <c r="L90" s="5"/>
    </row>
    <row r="91" spans="2:12" s="1" customFormat="1">
      <c r="B91" s="17"/>
      <c r="C91" s="17"/>
      <c r="D91" s="5"/>
      <c r="E91" s="14"/>
      <c r="F91" s="5"/>
      <c r="G91" s="14"/>
      <c r="H91" s="14"/>
      <c r="I91" s="5"/>
      <c r="J91" s="5"/>
      <c r="K91" s="5"/>
      <c r="L91" s="5"/>
    </row>
    <row r="92" spans="2:12" s="1" customFormat="1">
      <c r="B92" s="17"/>
      <c r="C92" s="17"/>
      <c r="D92" s="5"/>
      <c r="E92" s="14"/>
      <c r="F92" s="5"/>
      <c r="G92" s="14"/>
      <c r="H92" s="14"/>
      <c r="I92" s="5"/>
      <c r="J92" s="5"/>
      <c r="K92" s="5"/>
      <c r="L92" s="5"/>
    </row>
    <row r="93" spans="2:12" s="1" customFormat="1">
      <c r="B93" s="17"/>
      <c r="C93" s="17"/>
      <c r="D93" s="5"/>
      <c r="E93" s="14"/>
      <c r="F93" s="5"/>
      <c r="G93" s="14"/>
      <c r="H93" s="14"/>
      <c r="I93" s="5"/>
      <c r="J93" s="5"/>
      <c r="K93" s="5"/>
      <c r="L93" s="5"/>
    </row>
    <row r="94" spans="2:12" s="1" customFormat="1">
      <c r="B94" s="17"/>
      <c r="C94" s="17"/>
      <c r="D94" s="5"/>
      <c r="E94" s="14"/>
      <c r="F94" s="5"/>
      <c r="G94" s="14"/>
      <c r="H94" s="14"/>
      <c r="I94" s="5"/>
      <c r="J94" s="5"/>
      <c r="K94" s="5"/>
      <c r="L94" s="5"/>
    </row>
    <row r="95" spans="2:12" s="1" customFormat="1">
      <c r="B95" s="17"/>
      <c r="C95" s="17"/>
      <c r="D95" s="5"/>
      <c r="E95" s="14"/>
      <c r="F95" s="5"/>
      <c r="G95" s="14"/>
      <c r="H95" s="14"/>
      <c r="I95" s="5"/>
      <c r="J95" s="5"/>
      <c r="K95" s="5"/>
      <c r="L95" s="5"/>
    </row>
    <row r="96" spans="2:12" s="1" customFormat="1">
      <c r="B96" s="17"/>
      <c r="C96" s="17"/>
      <c r="D96" s="5"/>
      <c r="E96" s="14"/>
      <c r="F96" s="5"/>
      <c r="G96" s="14"/>
      <c r="H96" s="14"/>
      <c r="I96" s="5"/>
      <c r="J96" s="5"/>
      <c r="K96" s="5"/>
      <c r="L96" s="5"/>
    </row>
    <row r="97" spans="2:12" s="1" customFormat="1">
      <c r="B97" s="17"/>
      <c r="C97" s="17"/>
      <c r="D97" s="5"/>
      <c r="E97" s="14"/>
      <c r="F97" s="5"/>
      <c r="G97" s="14"/>
      <c r="H97" s="14"/>
      <c r="I97" s="5"/>
      <c r="J97" s="5"/>
      <c r="K97" s="5"/>
      <c r="L97" s="5"/>
    </row>
    <row r="98" spans="2:12" s="1" customFormat="1">
      <c r="B98" s="17"/>
      <c r="C98" s="17"/>
      <c r="D98" s="5"/>
      <c r="E98" s="14"/>
      <c r="F98" s="5"/>
      <c r="G98" s="14"/>
      <c r="H98" s="14"/>
      <c r="I98" s="5"/>
      <c r="J98" s="5"/>
      <c r="K98" s="5"/>
      <c r="L98" s="5"/>
    </row>
    <row r="99" spans="2:12" s="1" customFormat="1">
      <c r="B99" s="17"/>
      <c r="C99" s="17"/>
      <c r="D99" s="5"/>
      <c r="E99" s="14"/>
      <c r="F99" s="5"/>
      <c r="G99" s="14"/>
      <c r="H99" s="14"/>
      <c r="I99" s="5"/>
      <c r="J99" s="5"/>
      <c r="K99" s="5"/>
      <c r="L99" s="5"/>
    </row>
    <row r="100" spans="2:12" s="1" customFormat="1">
      <c r="B100" s="17"/>
      <c r="C100" s="17"/>
      <c r="D100" s="5"/>
      <c r="E100" s="14"/>
      <c r="F100" s="5"/>
      <c r="G100" s="14"/>
      <c r="H100" s="14"/>
      <c r="I100" s="5"/>
      <c r="J100" s="5"/>
      <c r="K100" s="5"/>
      <c r="L100" s="5"/>
    </row>
    <row r="101" spans="2:12" s="1" customFormat="1">
      <c r="B101" s="17"/>
      <c r="C101" s="17"/>
      <c r="D101" s="5"/>
      <c r="E101" s="14"/>
      <c r="F101" s="5"/>
      <c r="G101" s="14"/>
      <c r="H101" s="14"/>
      <c r="I101" s="5"/>
      <c r="J101" s="5"/>
      <c r="K101" s="5"/>
      <c r="L101" s="5"/>
    </row>
    <row r="102" spans="2:12" s="1" customFormat="1">
      <c r="B102" s="17"/>
      <c r="C102" s="17"/>
      <c r="D102" s="5"/>
      <c r="E102" s="14"/>
      <c r="F102" s="5"/>
      <c r="G102" s="14"/>
      <c r="H102" s="14"/>
      <c r="I102" s="5"/>
      <c r="J102" s="5"/>
      <c r="K102" s="5"/>
      <c r="L102" s="5"/>
    </row>
    <row r="103" spans="2:12" s="1" customFormat="1">
      <c r="B103" s="17"/>
      <c r="C103" s="17"/>
      <c r="D103" s="5"/>
      <c r="E103" s="14"/>
      <c r="F103" s="5"/>
      <c r="G103" s="14"/>
      <c r="H103" s="14"/>
      <c r="I103" s="5"/>
      <c r="J103" s="5"/>
      <c r="K103" s="5"/>
      <c r="L103" s="5"/>
    </row>
    <row r="104" spans="2:12" s="1" customFormat="1">
      <c r="B104" s="17"/>
      <c r="C104" s="17"/>
      <c r="D104" s="5"/>
      <c r="E104" s="14"/>
      <c r="F104" s="5"/>
      <c r="G104" s="14"/>
      <c r="H104" s="14"/>
      <c r="I104" s="5"/>
      <c r="J104" s="5"/>
      <c r="K104" s="5"/>
      <c r="L104" s="5"/>
    </row>
    <row r="105" spans="2:12" s="1" customFormat="1">
      <c r="B105" s="17"/>
      <c r="C105" s="17"/>
      <c r="D105" s="5"/>
      <c r="E105" s="14"/>
      <c r="F105" s="5"/>
      <c r="G105" s="14"/>
      <c r="H105" s="14"/>
      <c r="I105" s="5"/>
      <c r="J105" s="5"/>
      <c r="K105" s="5"/>
      <c r="L105" s="5"/>
    </row>
    <row r="106" spans="2:12" s="1" customFormat="1">
      <c r="B106" s="17"/>
      <c r="C106" s="17"/>
      <c r="D106" s="5"/>
      <c r="E106" s="14"/>
      <c r="F106" s="5"/>
      <c r="G106" s="14"/>
      <c r="H106" s="14"/>
      <c r="I106" s="5"/>
      <c r="J106" s="5"/>
      <c r="K106" s="5"/>
      <c r="L106" s="5"/>
    </row>
    <row r="107" spans="2:12" s="1" customFormat="1">
      <c r="B107" s="17"/>
      <c r="C107" s="17"/>
      <c r="D107" s="5"/>
      <c r="E107" s="14"/>
      <c r="F107" s="5"/>
      <c r="G107" s="14"/>
      <c r="H107" s="14"/>
      <c r="I107" s="5"/>
      <c r="J107" s="5"/>
      <c r="K107" s="5"/>
      <c r="L107" s="5"/>
    </row>
    <row r="108" spans="2:12" s="1" customFormat="1">
      <c r="B108" s="17"/>
      <c r="C108" s="17"/>
      <c r="D108" s="5"/>
      <c r="E108" s="14"/>
      <c r="F108" s="5"/>
      <c r="G108" s="14"/>
      <c r="H108" s="14"/>
      <c r="I108" s="5"/>
      <c r="J108" s="5"/>
      <c r="K108" s="5"/>
      <c r="L108" s="5"/>
    </row>
    <row r="109" spans="2:12" s="1" customFormat="1">
      <c r="B109" s="17"/>
      <c r="C109" s="17"/>
      <c r="D109" s="5"/>
      <c r="E109" s="14"/>
      <c r="F109" s="5"/>
      <c r="G109" s="14"/>
      <c r="H109" s="14"/>
      <c r="I109" s="5"/>
      <c r="J109" s="5"/>
      <c r="K109" s="5"/>
      <c r="L109" s="5"/>
    </row>
    <row r="110" spans="2:12" s="1" customFormat="1">
      <c r="B110" s="17"/>
      <c r="C110" s="17"/>
      <c r="D110" s="5"/>
      <c r="E110" s="14"/>
      <c r="F110" s="5"/>
      <c r="G110" s="14"/>
      <c r="H110" s="14"/>
      <c r="I110" s="5"/>
      <c r="J110" s="5"/>
      <c r="K110" s="5"/>
      <c r="L110" s="5"/>
    </row>
    <row r="111" spans="2:12" s="1" customFormat="1">
      <c r="B111" s="17"/>
      <c r="C111" s="17"/>
      <c r="D111" s="5"/>
      <c r="E111" s="14"/>
      <c r="F111" s="5"/>
      <c r="G111" s="14"/>
      <c r="H111" s="14"/>
      <c r="I111" s="5"/>
      <c r="J111" s="5"/>
      <c r="K111" s="5"/>
      <c r="L111" s="5"/>
    </row>
    <row r="112" spans="2:12" s="1" customFormat="1">
      <c r="B112" s="17"/>
      <c r="C112" s="17"/>
      <c r="D112" s="5"/>
      <c r="E112" s="14"/>
      <c r="F112" s="5"/>
      <c r="G112" s="14"/>
      <c r="H112" s="14"/>
      <c r="I112" s="5"/>
      <c r="J112" s="5"/>
      <c r="K112" s="5"/>
      <c r="L112" s="5"/>
    </row>
    <row r="113" spans="2:12" s="1" customFormat="1">
      <c r="B113" s="17"/>
      <c r="C113" s="17"/>
      <c r="D113" s="5"/>
      <c r="E113" s="14"/>
      <c r="F113" s="5"/>
      <c r="G113" s="14"/>
      <c r="H113" s="14"/>
      <c r="I113" s="5"/>
      <c r="J113" s="5"/>
      <c r="K113" s="5"/>
      <c r="L113" s="5"/>
    </row>
    <row r="114" spans="2:12" s="1" customFormat="1">
      <c r="B114" s="17"/>
      <c r="C114" s="17"/>
      <c r="D114" s="5"/>
      <c r="E114" s="14"/>
      <c r="F114" s="5"/>
      <c r="G114" s="14"/>
      <c r="H114" s="14"/>
      <c r="I114" s="5"/>
      <c r="J114" s="5"/>
      <c r="K114" s="5"/>
      <c r="L114" s="5"/>
    </row>
    <row r="115" spans="2:12" s="1" customFormat="1">
      <c r="B115" s="17"/>
      <c r="C115" s="17"/>
      <c r="D115" s="5"/>
      <c r="E115" s="14"/>
      <c r="F115" s="5"/>
      <c r="G115" s="14"/>
      <c r="H115" s="14"/>
      <c r="I115" s="5"/>
      <c r="J115" s="5"/>
      <c r="K115" s="5"/>
      <c r="L115" s="5"/>
    </row>
    <row r="116" spans="2:12" s="1" customFormat="1">
      <c r="B116" s="17"/>
      <c r="C116" s="17"/>
      <c r="D116" s="5"/>
      <c r="E116" s="14"/>
      <c r="F116" s="5"/>
      <c r="G116" s="14"/>
      <c r="H116" s="14"/>
      <c r="I116" s="5"/>
      <c r="J116" s="5"/>
      <c r="K116" s="5"/>
      <c r="L116" s="5"/>
    </row>
    <row r="117" spans="2:12" s="1" customFormat="1">
      <c r="B117" s="17"/>
      <c r="C117" s="17"/>
      <c r="D117" s="5"/>
      <c r="E117" s="14"/>
      <c r="F117" s="5"/>
      <c r="G117" s="14"/>
      <c r="H117" s="14"/>
      <c r="I117" s="5"/>
      <c r="J117" s="5"/>
      <c r="K117" s="5"/>
      <c r="L117" s="5"/>
    </row>
    <row r="118" spans="2:12" s="1" customFormat="1">
      <c r="B118" s="17"/>
      <c r="C118" s="17"/>
      <c r="D118" s="5"/>
      <c r="E118" s="14"/>
      <c r="F118" s="5"/>
      <c r="G118" s="14"/>
      <c r="H118" s="14"/>
      <c r="I118" s="5"/>
      <c r="J118" s="5"/>
      <c r="K118" s="5"/>
      <c r="L118" s="5"/>
    </row>
    <row r="119" spans="2:12" s="1" customFormat="1">
      <c r="B119" s="17"/>
      <c r="C119" s="17"/>
      <c r="D119" s="5"/>
      <c r="E119" s="14"/>
      <c r="F119" s="5"/>
      <c r="G119" s="14"/>
      <c r="H119" s="14"/>
      <c r="I119" s="5"/>
      <c r="J119" s="5"/>
      <c r="K119" s="5"/>
      <c r="L119" s="5"/>
    </row>
    <row r="120" spans="2:12" s="1" customFormat="1">
      <c r="B120" s="17"/>
      <c r="C120" s="17"/>
      <c r="D120" s="5"/>
      <c r="E120" s="14"/>
      <c r="F120" s="5"/>
      <c r="G120" s="14"/>
      <c r="H120" s="14"/>
      <c r="I120" s="5"/>
      <c r="J120" s="5"/>
      <c r="K120" s="5"/>
      <c r="L120" s="5"/>
    </row>
    <row r="121" spans="2:12" s="1" customFormat="1">
      <c r="B121" s="17"/>
      <c r="C121" s="17"/>
      <c r="D121" s="5"/>
      <c r="E121" s="14"/>
      <c r="F121" s="5"/>
      <c r="G121" s="14"/>
      <c r="H121" s="14"/>
      <c r="I121" s="5"/>
      <c r="J121" s="5"/>
      <c r="K121" s="5"/>
      <c r="L121" s="5"/>
    </row>
    <row r="122" spans="2:12" s="1" customFormat="1">
      <c r="B122" s="17"/>
      <c r="C122" s="17"/>
      <c r="D122" s="5"/>
      <c r="E122" s="14"/>
      <c r="F122" s="5"/>
      <c r="G122" s="14"/>
      <c r="H122" s="14"/>
      <c r="I122" s="5"/>
      <c r="J122" s="5"/>
      <c r="K122" s="5"/>
      <c r="L122" s="5"/>
    </row>
    <row r="123" spans="2:12" s="1" customFormat="1">
      <c r="B123" s="17"/>
      <c r="C123" s="17"/>
      <c r="D123" s="5"/>
      <c r="E123" s="14"/>
      <c r="F123" s="5"/>
      <c r="G123" s="14"/>
      <c r="H123" s="14"/>
      <c r="I123" s="5"/>
      <c r="J123" s="5"/>
      <c r="K123" s="5"/>
      <c r="L123" s="5"/>
    </row>
    <row r="124" spans="2:12" s="1" customFormat="1">
      <c r="B124" s="17"/>
      <c r="C124" s="17"/>
      <c r="D124" s="5"/>
      <c r="E124" s="14"/>
      <c r="F124" s="5"/>
      <c r="G124" s="14"/>
      <c r="H124" s="14"/>
      <c r="I124" s="5"/>
      <c r="J124" s="5"/>
      <c r="K124" s="5"/>
      <c r="L124" s="5"/>
    </row>
    <row r="125" spans="2:12" s="1" customFormat="1">
      <c r="B125" s="17"/>
      <c r="C125" s="17"/>
      <c r="D125" s="5"/>
      <c r="E125" s="14"/>
      <c r="F125" s="5"/>
      <c r="G125" s="14"/>
      <c r="H125" s="14"/>
      <c r="I125" s="5"/>
      <c r="J125" s="5"/>
      <c r="K125" s="5"/>
      <c r="L125" s="5"/>
    </row>
    <row r="126" spans="2:12" s="1" customFormat="1">
      <c r="B126" s="17"/>
      <c r="C126" s="17"/>
      <c r="D126" s="5"/>
      <c r="E126" s="14"/>
      <c r="F126" s="5"/>
      <c r="G126" s="14"/>
      <c r="H126" s="14"/>
      <c r="I126" s="5"/>
      <c r="J126" s="5"/>
      <c r="K126" s="5"/>
      <c r="L126" s="5"/>
    </row>
    <row r="127" spans="2:12" s="1" customFormat="1">
      <c r="B127" s="17"/>
      <c r="C127" s="17"/>
      <c r="D127" s="5"/>
      <c r="E127" s="14"/>
      <c r="F127" s="5"/>
      <c r="G127" s="14"/>
      <c r="H127" s="14"/>
      <c r="I127" s="5"/>
      <c r="J127" s="5"/>
      <c r="K127" s="5"/>
      <c r="L127" s="5"/>
    </row>
    <row r="128" spans="2:12" s="1" customFormat="1">
      <c r="B128" s="17"/>
      <c r="C128" s="17"/>
      <c r="D128" s="5"/>
      <c r="E128" s="14"/>
      <c r="F128" s="5"/>
      <c r="G128" s="14"/>
      <c r="H128" s="14"/>
      <c r="I128" s="5"/>
      <c r="J128" s="5"/>
      <c r="K128" s="5"/>
      <c r="L128" s="5"/>
    </row>
    <row r="129" spans="2:14" s="1" customFormat="1">
      <c r="B129" s="17"/>
      <c r="C129" s="17"/>
      <c r="D129" s="5"/>
      <c r="E129" s="14"/>
      <c r="F129" s="5"/>
      <c r="G129" s="14"/>
      <c r="H129" s="14"/>
      <c r="I129" s="5"/>
      <c r="J129" s="5"/>
      <c r="K129" s="5"/>
      <c r="L129" s="5"/>
    </row>
    <row r="130" spans="2:14" s="1" customFormat="1">
      <c r="B130" s="17"/>
      <c r="C130" s="17"/>
      <c r="D130" s="5"/>
      <c r="E130" s="14"/>
      <c r="F130" s="5"/>
      <c r="G130" s="14"/>
      <c r="H130" s="14"/>
      <c r="I130" s="5"/>
      <c r="J130" s="5"/>
      <c r="K130" s="5"/>
      <c r="L130" s="5"/>
      <c r="N130" s="21"/>
    </row>
    <row r="131" spans="2:14" s="1" customFormat="1">
      <c r="B131" s="17"/>
      <c r="C131" s="17"/>
      <c r="D131" s="5"/>
      <c r="E131" s="14"/>
      <c r="F131" s="5"/>
      <c r="G131" s="14"/>
      <c r="H131" s="14"/>
      <c r="I131" s="5"/>
      <c r="J131" s="5"/>
      <c r="K131" s="5"/>
      <c r="L131" s="5"/>
    </row>
    <row r="132" spans="2:14" s="1" customFormat="1">
      <c r="B132" s="17"/>
      <c r="C132" s="17"/>
      <c r="D132" s="5"/>
      <c r="E132" s="14"/>
      <c r="F132" s="5"/>
      <c r="G132" s="14"/>
      <c r="H132" s="14"/>
      <c r="I132" s="5"/>
      <c r="J132" s="5"/>
      <c r="K132" s="5"/>
      <c r="L132" s="5"/>
    </row>
    <row r="133" spans="2:14" s="1" customFormat="1">
      <c r="B133" s="17"/>
      <c r="C133" s="17"/>
      <c r="D133" s="5"/>
      <c r="E133" s="14"/>
      <c r="F133" s="5"/>
      <c r="G133" s="14"/>
      <c r="H133" s="14"/>
      <c r="I133" s="5"/>
      <c r="J133" s="5"/>
      <c r="K133" s="5"/>
      <c r="L133" s="5"/>
    </row>
    <row r="134" spans="2:14" s="1" customFormat="1">
      <c r="B134" s="17"/>
      <c r="C134" s="17"/>
      <c r="D134" s="5"/>
      <c r="E134" s="14"/>
      <c r="F134" s="5"/>
      <c r="G134" s="14"/>
      <c r="H134" s="14"/>
      <c r="I134" s="5"/>
      <c r="J134" s="5"/>
      <c r="K134" s="5"/>
      <c r="L134" s="5"/>
    </row>
    <row r="135" spans="2:14" s="1" customFormat="1">
      <c r="B135" s="17"/>
      <c r="C135" s="17"/>
      <c r="D135" s="5"/>
      <c r="E135" s="14"/>
      <c r="F135" s="5"/>
      <c r="G135" s="14"/>
      <c r="H135" s="14"/>
      <c r="I135" s="5"/>
      <c r="J135" s="5"/>
      <c r="K135" s="5"/>
      <c r="L135" s="5"/>
    </row>
    <row r="136" spans="2:14" s="1" customFormat="1">
      <c r="B136" s="17"/>
      <c r="C136" s="17"/>
      <c r="D136" s="5"/>
      <c r="E136" s="14"/>
      <c r="F136" s="5"/>
      <c r="G136" s="14"/>
      <c r="H136" s="14"/>
      <c r="I136" s="5"/>
      <c r="J136" s="5"/>
      <c r="K136" s="5"/>
      <c r="L136" s="5"/>
    </row>
    <row r="137" spans="2:14" s="1" customFormat="1">
      <c r="B137" s="17"/>
      <c r="C137" s="17"/>
      <c r="D137" s="5"/>
      <c r="E137" s="14"/>
      <c r="F137" s="5"/>
      <c r="G137" s="14"/>
      <c r="H137" s="14"/>
      <c r="I137" s="5"/>
      <c r="J137" s="5"/>
      <c r="K137" s="5"/>
      <c r="L137" s="5"/>
    </row>
    <row r="138" spans="2:14" s="1" customFormat="1">
      <c r="B138" s="17"/>
      <c r="C138" s="17"/>
      <c r="D138" s="5"/>
      <c r="E138" s="14"/>
      <c r="F138" s="5"/>
      <c r="G138" s="14"/>
      <c r="H138" s="14"/>
      <c r="I138" s="5"/>
      <c r="J138" s="5"/>
      <c r="K138" s="5"/>
      <c r="L138" s="5"/>
    </row>
    <row r="139" spans="2:14" s="1" customFormat="1">
      <c r="B139" s="17"/>
      <c r="C139" s="17"/>
      <c r="D139" s="5"/>
      <c r="E139" s="14"/>
      <c r="F139" s="5"/>
      <c r="G139" s="14"/>
      <c r="H139" s="14"/>
      <c r="I139" s="5"/>
      <c r="J139" s="5"/>
      <c r="K139" s="5"/>
      <c r="L139" s="5"/>
    </row>
    <row r="140" spans="2:14" s="1" customFormat="1">
      <c r="B140" s="17"/>
      <c r="C140" s="17"/>
      <c r="D140" s="5"/>
      <c r="E140" s="14"/>
      <c r="F140" s="5"/>
      <c r="G140" s="14"/>
      <c r="H140" s="14"/>
      <c r="I140" s="5"/>
      <c r="J140" s="5"/>
      <c r="K140" s="5"/>
      <c r="L140" s="5"/>
    </row>
    <row r="141" spans="2:14" s="1" customFormat="1">
      <c r="B141" s="17"/>
      <c r="C141" s="17"/>
      <c r="D141" s="5"/>
      <c r="E141" s="14"/>
      <c r="F141" s="5"/>
      <c r="G141" s="14"/>
      <c r="H141" s="14"/>
      <c r="I141" s="5"/>
      <c r="J141" s="5"/>
      <c r="K141" s="5"/>
      <c r="L141" s="5"/>
    </row>
    <row r="142" spans="2:14" s="1" customFormat="1">
      <c r="B142" s="17"/>
      <c r="C142" s="17"/>
      <c r="D142" s="5"/>
      <c r="E142" s="14"/>
      <c r="F142" s="5"/>
      <c r="G142" s="14"/>
      <c r="H142" s="14"/>
      <c r="I142" s="5"/>
      <c r="J142" s="5"/>
      <c r="K142" s="5"/>
      <c r="L142" s="5"/>
    </row>
    <row r="143" spans="2:14" s="1" customFormat="1">
      <c r="B143" s="17"/>
      <c r="C143" s="17"/>
      <c r="D143" s="5"/>
      <c r="E143" s="14"/>
      <c r="F143" s="5"/>
      <c r="G143" s="14"/>
      <c r="H143" s="14"/>
      <c r="I143" s="5"/>
      <c r="J143" s="5"/>
      <c r="K143" s="5"/>
      <c r="L143" s="5"/>
    </row>
    <row r="144" spans="2:14" s="1" customFormat="1">
      <c r="B144" s="17"/>
      <c r="C144" s="17"/>
      <c r="D144" s="5"/>
      <c r="E144" s="14"/>
      <c r="F144" s="5"/>
      <c r="G144" s="14"/>
      <c r="H144" s="14"/>
      <c r="I144" s="5"/>
      <c r="J144" s="5"/>
      <c r="K144" s="5"/>
      <c r="L144" s="5"/>
    </row>
    <row r="145" spans="2:12" s="1" customFormat="1">
      <c r="B145" s="17"/>
      <c r="C145" s="17"/>
      <c r="D145" s="5"/>
      <c r="E145" s="14"/>
      <c r="F145" s="5"/>
      <c r="G145" s="14"/>
      <c r="H145" s="14"/>
      <c r="I145" s="5"/>
      <c r="J145" s="5"/>
      <c r="K145" s="5"/>
      <c r="L145" s="5"/>
    </row>
    <row r="146" spans="2:12" s="1" customFormat="1">
      <c r="B146" s="17"/>
      <c r="C146" s="17"/>
      <c r="D146" s="5"/>
      <c r="E146" s="14"/>
      <c r="F146" s="5"/>
      <c r="G146" s="14"/>
      <c r="H146" s="14"/>
      <c r="I146" s="5"/>
      <c r="J146" s="5"/>
      <c r="K146" s="5"/>
      <c r="L146" s="5"/>
    </row>
    <row r="147" spans="2:12" s="1" customFormat="1">
      <c r="B147" s="17"/>
      <c r="C147" s="17"/>
      <c r="D147" s="5"/>
      <c r="E147" s="14"/>
      <c r="F147" s="5"/>
      <c r="G147" s="14"/>
      <c r="H147" s="14"/>
      <c r="I147" s="5"/>
      <c r="J147" s="5"/>
      <c r="K147" s="5"/>
      <c r="L147" s="5"/>
    </row>
    <row r="148" spans="2:12" s="1" customFormat="1">
      <c r="B148" s="17"/>
      <c r="C148" s="17"/>
      <c r="D148" s="5"/>
      <c r="E148" s="14"/>
      <c r="F148" s="5"/>
      <c r="G148" s="14"/>
      <c r="H148" s="14"/>
      <c r="I148" s="5"/>
      <c r="J148" s="5"/>
      <c r="K148" s="5"/>
      <c r="L148" s="5"/>
    </row>
    <row r="149" spans="2:12" s="1" customFormat="1">
      <c r="B149" s="17"/>
      <c r="C149" s="17"/>
      <c r="D149" s="5"/>
      <c r="E149" s="14"/>
      <c r="F149" s="5"/>
      <c r="G149" s="14"/>
      <c r="H149" s="14"/>
      <c r="I149" s="5"/>
      <c r="J149" s="5"/>
      <c r="K149" s="5"/>
      <c r="L149" s="5"/>
    </row>
    <row r="150" spans="2:12" s="1" customFormat="1">
      <c r="B150" s="17"/>
      <c r="C150" s="17"/>
      <c r="D150" s="5"/>
      <c r="E150" s="14"/>
      <c r="F150" s="5"/>
      <c r="G150" s="14"/>
      <c r="H150" s="14"/>
      <c r="I150" s="5"/>
      <c r="J150" s="5"/>
      <c r="K150" s="5"/>
      <c r="L150" s="5"/>
    </row>
    <row r="151" spans="2:12" s="1" customFormat="1">
      <c r="B151" s="17"/>
      <c r="C151" s="17"/>
      <c r="D151" s="5"/>
      <c r="E151" s="14"/>
      <c r="F151" s="5"/>
      <c r="G151" s="14"/>
      <c r="H151" s="14"/>
      <c r="I151" s="5"/>
      <c r="J151" s="5"/>
      <c r="K151" s="5"/>
      <c r="L151" s="5"/>
    </row>
    <row r="152" spans="2:12" s="1" customFormat="1">
      <c r="B152" s="17"/>
      <c r="C152" s="17"/>
      <c r="D152" s="5"/>
      <c r="E152" s="14"/>
      <c r="F152" s="5"/>
      <c r="G152" s="14"/>
      <c r="H152" s="14"/>
      <c r="I152" s="5"/>
      <c r="J152" s="5"/>
      <c r="K152" s="5"/>
      <c r="L152" s="5"/>
    </row>
    <row r="153" spans="2:12" s="1" customFormat="1">
      <c r="B153" s="17"/>
      <c r="C153" s="17"/>
      <c r="D153" s="5"/>
      <c r="E153" s="14"/>
      <c r="F153" s="5"/>
      <c r="G153" s="14"/>
      <c r="H153" s="14"/>
      <c r="I153" s="5"/>
      <c r="J153" s="5"/>
      <c r="K153" s="5"/>
      <c r="L153" s="5"/>
    </row>
    <row r="154" spans="2:12" s="1" customFormat="1">
      <c r="B154" s="17"/>
      <c r="C154" s="17"/>
      <c r="D154" s="5"/>
      <c r="E154" s="14"/>
      <c r="F154" s="5"/>
      <c r="G154" s="14"/>
      <c r="H154" s="14"/>
      <c r="I154" s="5"/>
      <c r="J154" s="5"/>
      <c r="K154" s="5"/>
      <c r="L154" s="5"/>
    </row>
    <row r="155" spans="2:12" s="1" customFormat="1">
      <c r="B155" s="17"/>
      <c r="C155" s="17"/>
      <c r="D155" s="5"/>
      <c r="E155" s="14"/>
      <c r="F155" s="5"/>
      <c r="G155" s="14"/>
      <c r="H155" s="14"/>
      <c r="I155" s="5"/>
      <c r="J155" s="5"/>
      <c r="K155" s="5"/>
      <c r="L155" s="5"/>
    </row>
    <row r="156" spans="2:12" s="1" customFormat="1">
      <c r="B156" s="17"/>
      <c r="C156" s="17"/>
      <c r="D156" s="5"/>
      <c r="E156" s="14"/>
      <c r="F156" s="5"/>
      <c r="G156" s="14"/>
      <c r="H156" s="14"/>
      <c r="I156" s="5"/>
      <c r="J156" s="5"/>
      <c r="K156" s="5"/>
      <c r="L156" s="5"/>
    </row>
    <row r="157" spans="2:12" s="1" customFormat="1">
      <c r="B157" s="17"/>
      <c r="C157" s="17"/>
      <c r="D157" s="5"/>
      <c r="E157" s="14"/>
      <c r="F157" s="5"/>
      <c r="G157" s="14"/>
      <c r="H157" s="14"/>
      <c r="I157" s="5"/>
      <c r="J157" s="5"/>
      <c r="K157" s="5"/>
      <c r="L157" s="5"/>
    </row>
    <row r="158" spans="2:12" s="1" customFormat="1">
      <c r="B158" s="17"/>
      <c r="C158" s="17"/>
      <c r="D158" s="5"/>
      <c r="E158" s="14"/>
      <c r="F158" s="5"/>
      <c r="G158" s="14"/>
      <c r="H158" s="14"/>
      <c r="I158" s="5"/>
      <c r="J158" s="5"/>
      <c r="K158" s="5"/>
      <c r="L158" s="5"/>
    </row>
    <row r="159" spans="2:12" s="1" customFormat="1">
      <c r="B159" s="17"/>
      <c r="C159" s="17"/>
      <c r="D159" s="5"/>
      <c r="E159" s="14"/>
      <c r="F159" s="5"/>
      <c r="G159" s="14"/>
      <c r="H159" s="14"/>
      <c r="I159" s="5"/>
      <c r="J159" s="5"/>
      <c r="K159" s="5"/>
      <c r="L159" s="5"/>
    </row>
    <row r="160" spans="2:12" s="1" customFormat="1">
      <c r="B160" s="17"/>
      <c r="C160" s="17"/>
      <c r="D160" s="5"/>
      <c r="E160" s="14"/>
      <c r="F160" s="5"/>
      <c r="G160" s="14"/>
      <c r="H160" s="14"/>
      <c r="I160" s="5"/>
      <c r="J160" s="5"/>
      <c r="K160" s="5"/>
      <c r="L160" s="5"/>
    </row>
    <row r="161" spans="2:12" s="1" customFormat="1">
      <c r="B161" s="17"/>
      <c r="C161" s="17"/>
      <c r="D161" s="5"/>
      <c r="E161" s="14"/>
      <c r="F161" s="5"/>
      <c r="G161" s="14"/>
      <c r="H161" s="14"/>
      <c r="I161" s="5"/>
      <c r="J161" s="5"/>
      <c r="K161" s="5"/>
      <c r="L161" s="5"/>
    </row>
    <row r="162" spans="2:12" s="1" customFormat="1">
      <c r="B162" s="17"/>
      <c r="C162" s="17"/>
      <c r="D162" s="5"/>
      <c r="E162" s="14"/>
      <c r="F162" s="5"/>
      <c r="G162" s="14"/>
      <c r="H162" s="14"/>
      <c r="I162" s="5"/>
      <c r="J162" s="5"/>
      <c r="K162" s="5"/>
      <c r="L162" s="5"/>
    </row>
    <row r="163" spans="2:12" s="1" customFormat="1">
      <c r="B163" s="17"/>
      <c r="C163" s="17"/>
      <c r="D163" s="5"/>
      <c r="E163" s="14"/>
      <c r="F163" s="5"/>
      <c r="G163" s="14"/>
      <c r="H163" s="14"/>
      <c r="I163" s="5"/>
      <c r="J163" s="5"/>
      <c r="K163" s="5"/>
      <c r="L163" s="5"/>
    </row>
    <row r="164" spans="2:12" s="1" customFormat="1">
      <c r="B164" s="17"/>
      <c r="C164" s="17"/>
      <c r="D164" s="5"/>
      <c r="E164" s="14"/>
      <c r="F164" s="5"/>
      <c r="G164" s="14"/>
      <c r="H164" s="14"/>
      <c r="I164" s="5"/>
      <c r="J164" s="5"/>
      <c r="K164" s="5"/>
      <c r="L164" s="5"/>
    </row>
    <row r="165" spans="2:12" s="1" customFormat="1">
      <c r="B165" s="17"/>
      <c r="C165" s="17"/>
      <c r="D165" s="5"/>
      <c r="E165" s="14"/>
      <c r="F165" s="5"/>
      <c r="G165" s="14"/>
      <c r="H165" s="14"/>
      <c r="I165" s="5"/>
      <c r="J165" s="5"/>
      <c r="K165" s="5"/>
      <c r="L165" s="5"/>
    </row>
    <row r="166" spans="2:12" s="1" customFormat="1">
      <c r="B166" s="17"/>
      <c r="C166" s="17"/>
      <c r="D166" s="5"/>
      <c r="E166" s="14"/>
      <c r="F166" s="5"/>
      <c r="G166" s="14"/>
      <c r="H166" s="14"/>
      <c r="I166" s="5"/>
      <c r="J166" s="5"/>
      <c r="K166" s="5"/>
      <c r="L166" s="5"/>
    </row>
    <row r="167" spans="2:12" s="1" customFormat="1">
      <c r="B167" s="17"/>
      <c r="C167" s="17"/>
      <c r="D167" s="5"/>
      <c r="E167" s="14"/>
      <c r="F167" s="5"/>
      <c r="G167" s="14"/>
      <c r="H167" s="14"/>
      <c r="I167" s="5"/>
      <c r="J167" s="5"/>
      <c r="K167" s="5"/>
      <c r="L167" s="5"/>
    </row>
    <row r="168" spans="2:12" s="1" customFormat="1">
      <c r="B168" s="17"/>
      <c r="C168" s="17"/>
      <c r="D168" s="5"/>
      <c r="E168" s="14"/>
      <c r="F168" s="5"/>
      <c r="G168" s="14"/>
      <c r="H168" s="14"/>
      <c r="I168" s="5"/>
      <c r="J168" s="5"/>
      <c r="K168" s="5"/>
      <c r="L168" s="5"/>
    </row>
    <row r="169" spans="2:12" s="1" customFormat="1">
      <c r="B169" s="17"/>
      <c r="C169" s="17"/>
      <c r="D169" s="5"/>
      <c r="E169" s="14"/>
      <c r="F169" s="5"/>
      <c r="G169" s="14"/>
      <c r="H169" s="14"/>
      <c r="I169" s="5"/>
      <c r="J169" s="5"/>
      <c r="K169" s="5"/>
      <c r="L169" s="5"/>
    </row>
    <row r="170" spans="2:12" s="1" customFormat="1">
      <c r="B170" s="17"/>
      <c r="C170" s="17"/>
      <c r="D170" s="5"/>
      <c r="E170" s="14"/>
      <c r="F170" s="5"/>
      <c r="G170" s="14"/>
      <c r="H170" s="14"/>
      <c r="I170" s="5"/>
      <c r="J170" s="5"/>
      <c r="K170" s="5"/>
      <c r="L170" s="5"/>
    </row>
    <row r="171" spans="2:12" s="1" customFormat="1">
      <c r="B171" s="17"/>
      <c r="C171" s="17"/>
      <c r="D171" s="5"/>
      <c r="E171" s="14"/>
      <c r="F171" s="5"/>
      <c r="G171" s="14"/>
      <c r="H171" s="14"/>
      <c r="I171" s="5"/>
      <c r="J171" s="5"/>
      <c r="K171" s="5"/>
      <c r="L171" s="5"/>
    </row>
    <row r="172" spans="2:12" s="14" customFormat="1">
      <c r="B172" s="17"/>
      <c r="C172" s="17"/>
      <c r="D172" s="5"/>
      <c r="F172" s="5"/>
      <c r="I172" s="5"/>
      <c r="J172" s="5"/>
      <c r="K172" s="5"/>
      <c r="L172" s="5"/>
    </row>
    <row r="173" spans="2:12" s="14" customFormat="1">
      <c r="B173" s="17"/>
      <c r="C173" s="17"/>
      <c r="D173" s="5"/>
      <c r="F173" s="5"/>
      <c r="I173" s="5"/>
      <c r="J173" s="5"/>
      <c r="K173" s="5"/>
      <c r="L173" s="5"/>
    </row>
    <row r="174" spans="2:12" s="14" customFormat="1">
      <c r="B174" s="17"/>
      <c r="C174" s="17"/>
      <c r="D174" s="5"/>
      <c r="F174" s="5"/>
      <c r="I174" s="5"/>
      <c r="J174" s="5"/>
      <c r="K174" s="5"/>
      <c r="L174" s="5"/>
    </row>
    <row r="175" spans="2:12" s="14" customFormat="1">
      <c r="B175" s="17"/>
      <c r="C175" s="17"/>
      <c r="D175" s="5"/>
      <c r="F175" s="5"/>
      <c r="I175" s="5"/>
      <c r="J175" s="5"/>
      <c r="K175" s="5"/>
      <c r="L175" s="5"/>
    </row>
    <row r="176" spans="2:12" s="14" customFormat="1">
      <c r="B176" s="17"/>
      <c r="C176" s="17"/>
      <c r="D176" s="5"/>
      <c r="F176" s="5"/>
      <c r="I176" s="5"/>
      <c r="J176" s="5"/>
      <c r="K176" s="5"/>
      <c r="L176" s="5"/>
    </row>
    <row r="177" spans="2:12" s="14" customFormat="1">
      <c r="B177" s="17"/>
      <c r="C177" s="17"/>
      <c r="D177" s="5"/>
      <c r="F177" s="5"/>
      <c r="I177" s="5"/>
      <c r="J177" s="5"/>
      <c r="K177" s="5"/>
      <c r="L177" s="5"/>
    </row>
    <row r="178" spans="2:12" s="14" customFormat="1">
      <c r="B178" s="17"/>
      <c r="C178" s="17"/>
      <c r="D178" s="5"/>
      <c r="F178" s="5"/>
      <c r="I178" s="5"/>
      <c r="J178" s="5"/>
      <c r="K178" s="5"/>
      <c r="L178" s="5"/>
    </row>
    <row r="179" spans="2:12" s="14" customFormat="1">
      <c r="B179" s="17"/>
      <c r="C179" s="17"/>
      <c r="D179" s="5"/>
      <c r="F179" s="5"/>
      <c r="I179" s="5"/>
      <c r="J179" s="5"/>
      <c r="K179" s="5"/>
      <c r="L179" s="5"/>
    </row>
    <row r="180" spans="2:12" s="14" customFormat="1">
      <c r="B180" s="17"/>
      <c r="C180" s="17"/>
      <c r="D180" s="5"/>
      <c r="F180" s="5"/>
      <c r="I180" s="5"/>
      <c r="J180" s="5"/>
      <c r="K180" s="5"/>
      <c r="L180" s="5"/>
    </row>
    <row r="181" spans="2:12" s="14" customFormat="1">
      <c r="B181" s="17"/>
      <c r="C181" s="17"/>
      <c r="D181" s="5"/>
      <c r="F181" s="5"/>
      <c r="I181" s="5"/>
      <c r="J181" s="5"/>
      <c r="K181" s="5"/>
      <c r="L181" s="5"/>
    </row>
    <row r="182" spans="2:12" s="14" customFormat="1">
      <c r="B182" s="17"/>
      <c r="C182" s="17"/>
      <c r="D182" s="5"/>
      <c r="F182" s="5"/>
      <c r="I182" s="5"/>
      <c r="J182" s="5"/>
      <c r="K182" s="5"/>
      <c r="L182" s="5"/>
    </row>
    <row r="183" spans="2:12" s="14" customFormat="1">
      <c r="B183" s="17"/>
      <c r="C183" s="17"/>
      <c r="D183" s="5"/>
      <c r="F183" s="5"/>
      <c r="I183" s="5"/>
      <c r="J183" s="5"/>
      <c r="K183" s="5"/>
      <c r="L183" s="5"/>
    </row>
    <row r="184" spans="2:12" s="14" customFormat="1">
      <c r="B184" s="17"/>
      <c r="C184" s="17"/>
      <c r="D184" s="5"/>
      <c r="F184" s="5"/>
      <c r="I184" s="5"/>
      <c r="J184" s="5"/>
      <c r="K184" s="5"/>
      <c r="L184" s="5"/>
    </row>
    <row r="185" spans="2:12" s="1" customFormat="1">
      <c r="B185" s="17"/>
      <c r="C185" s="17"/>
      <c r="D185" s="5"/>
      <c r="E185" s="14"/>
      <c r="F185" s="5"/>
      <c r="G185" s="14"/>
      <c r="H185" s="14"/>
      <c r="I185" s="5"/>
      <c r="J185" s="5"/>
      <c r="K185" s="5"/>
      <c r="L185" s="5"/>
    </row>
    <row r="186" spans="2:12" s="1" customFormat="1">
      <c r="B186" s="17"/>
      <c r="C186" s="17"/>
      <c r="D186" s="5"/>
      <c r="E186" s="14"/>
      <c r="F186" s="5"/>
      <c r="G186" s="14"/>
      <c r="H186" s="14"/>
      <c r="I186" s="5"/>
      <c r="J186" s="5"/>
      <c r="K186" s="5"/>
      <c r="L186" s="5"/>
    </row>
    <row r="187" spans="2:12" s="1" customFormat="1">
      <c r="B187" s="17"/>
      <c r="C187" s="17"/>
      <c r="D187" s="5"/>
      <c r="E187" s="14"/>
      <c r="F187" s="5"/>
      <c r="G187" s="14"/>
      <c r="H187" s="14"/>
      <c r="I187" s="5"/>
      <c r="J187" s="5"/>
      <c r="K187" s="5"/>
      <c r="L187" s="5"/>
    </row>
    <row r="188" spans="2:12" s="1" customFormat="1">
      <c r="B188" s="17"/>
      <c r="C188" s="17"/>
      <c r="D188" s="5"/>
      <c r="E188" s="14"/>
      <c r="F188" s="5"/>
      <c r="G188" s="14"/>
      <c r="H188" s="14"/>
      <c r="I188" s="5"/>
      <c r="J188" s="5"/>
      <c r="K188" s="5"/>
      <c r="L188" s="5"/>
    </row>
    <row r="189" spans="2:12" s="1" customFormat="1">
      <c r="B189" s="17"/>
      <c r="C189" s="17"/>
      <c r="D189" s="5"/>
      <c r="E189" s="14"/>
      <c r="F189" s="5"/>
      <c r="G189" s="14"/>
      <c r="H189" s="14"/>
      <c r="I189" s="5"/>
      <c r="J189" s="5"/>
      <c r="K189" s="5"/>
      <c r="L189" s="5"/>
    </row>
    <row r="190" spans="2:12" s="1" customFormat="1">
      <c r="B190" s="17"/>
      <c r="C190" s="17"/>
      <c r="D190" s="5"/>
      <c r="E190" s="14"/>
      <c r="F190" s="5"/>
      <c r="G190" s="14"/>
      <c r="H190" s="14"/>
      <c r="I190" s="5"/>
      <c r="J190" s="5"/>
      <c r="K190" s="5"/>
      <c r="L190" s="5"/>
    </row>
    <row r="191" spans="2:12" s="1" customFormat="1">
      <c r="B191" s="17"/>
      <c r="C191" s="17"/>
      <c r="D191" s="5"/>
      <c r="E191" s="14"/>
      <c r="F191" s="5"/>
      <c r="G191" s="14"/>
      <c r="H191" s="14"/>
      <c r="I191" s="5"/>
      <c r="J191" s="5"/>
      <c r="K191" s="5"/>
      <c r="L191" s="5"/>
    </row>
    <row r="192" spans="2:12" s="1" customFormat="1">
      <c r="B192" s="17"/>
      <c r="C192" s="17"/>
      <c r="D192" s="5"/>
      <c r="E192" s="14"/>
      <c r="F192" s="5"/>
      <c r="G192" s="14"/>
      <c r="H192" s="14"/>
      <c r="I192" s="5"/>
      <c r="J192" s="5"/>
      <c r="K192" s="5"/>
      <c r="L192" s="5"/>
    </row>
    <row r="193" spans="2:12" s="1" customFormat="1">
      <c r="B193" s="17"/>
      <c r="C193" s="17"/>
      <c r="D193" s="5"/>
      <c r="E193" s="14"/>
      <c r="F193" s="5"/>
      <c r="G193" s="14"/>
      <c r="H193" s="14"/>
      <c r="I193" s="5"/>
      <c r="J193" s="5"/>
      <c r="K193" s="5"/>
      <c r="L193" s="5"/>
    </row>
    <row r="194" spans="2:12" s="1" customFormat="1">
      <c r="B194" s="17"/>
      <c r="C194" s="17"/>
      <c r="D194" s="5"/>
      <c r="E194" s="14"/>
      <c r="F194" s="5"/>
      <c r="G194" s="14"/>
      <c r="H194" s="14"/>
      <c r="I194" s="5"/>
      <c r="J194" s="5"/>
      <c r="K194" s="5"/>
      <c r="L194" s="5"/>
    </row>
    <row r="195" spans="2:12" s="1" customFormat="1">
      <c r="B195" s="17"/>
      <c r="C195" s="17"/>
      <c r="D195" s="5"/>
      <c r="E195" s="14"/>
      <c r="F195" s="5"/>
      <c r="G195" s="14"/>
      <c r="H195" s="14"/>
      <c r="I195" s="5"/>
      <c r="J195" s="5"/>
      <c r="K195" s="5"/>
      <c r="L195" s="5"/>
    </row>
    <row r="196" spans="2:12" s="1" customFormat="1">
      <c r="B196" s="17"/>
      <c r="C196" s="17"/>
      <c r="D196" s="5"/>
      <c r="E196" s="14"/>
      <c r="F196" s="5"/>
      <c r="G196" s="14"/>
      <c r="H196" s="14"/>
      <c r="I196" s="5"/>
      <c r="J196" s="5"/>
      <c r="K196" s="5"/>
      <c r="L196" s="5"/>
    </row>
    <row r="210" spans="2:12" s="1" customFormat="1" ht="21">
      <c r="B210" s="13"/>
      <c r="C210" s="13"/>
      <c r="D210" s="5"/>
      <c r="E210" s="14"/>
      <c r="F210" s="5"/>
      <c r="G210" s="14"/>
      <c r="H210" s="14"/>
      <c r="I210" s="5"/>
      <c r="J210" s="5"/>
      <c r="K210" s="5"/>
      <c r="L210" s="5"/>
    </row>
    <row r="211" spans="2:12" s="1" customFormat="1">
      <c r="B211" s="15"/>
      <c r="C211" s="15"/>
      <c r="D211" s="6"/>
      <c r="E211" s="16"/>
      <c r="F211" s="6"/>
      <c r="G211" s="16"/>
      <c r="H211" s="16"/>
      <c r="I211" s="5"/>
      <c r="J211" s="5"/>
      <c r="K211" s="5"/>
      <c r="L211" s="6"/>
    </row>
    <row r="212" spans="2:12" s="1" customFormat="1">
      <c r="B212" s="17"/>
      <c r="C212" s="17"/>
      <c r="D212" s="5"/>
      <c r="E212" s="14"/>
      <c r="F212" s="5"/>
      <c r="G212" s="14"/>
      <c r="H212" s="14"/>
      <c r="I212" s="5"/>
      <c r="J212" s="5"/>
      <c r="K212" s="5"/>
      <c r="L212" s="5"/>
    </row>
    <row r="213" spans="2:12" s="1" customFormat="1">
      <c r="B213" s="17"/>
      <c r="C213" s="17"/>
      <c r="D213" s="5"/>
      <c r="E213" s="14"/>
      <c r="F213" s="5"/>
      <c r="G213" s="14"/>
      <c r="H213" s="14"/>
      <c r="I213" s="5"/>
      <c r="J213" s="5"/>
      <c r="K213" s="5"/>
      <c r="L213" s="5"/>
    </row>
    <row r="214" spans="2:12" s="1" customFormat="1">
      <c r="B214" s="17"/>
      <c r="C214" s="17"/>
      <c r="D214" s="5"/>
      <c r="E214" s="14"/>
      <c r="F214" s="5"/>
      <c r="G214" s="14"/>
      <c r="H214" s="14"/>
      <c r="I214" s="5"/>
      <c r="J214" s="5"/>
      <c r="K214" s="5"/>
      <c r="L214" s="5"/>
    </row>
    <row r="215" spans="2:12" s="1" customFormat="1">
      <c r="B215" s="17"/>
      <c r="C215" s="17"/>
      <c r="D215" s="5"/>
      <c r="E215" s="14"/>
      <c r="F215" s="5"/>
      <c r="G215" s="14"/>
      <c r="H215" s="14"/>
      <c r="I215" s="5"/>
      <c r="J215" s="5"/>
      <c r="K215" s="5"/>
      <c r="L215" s="5"/>
    </row>
    <row r="216" spans="2:12" s="1" customFormat="1">
      <c r="B216" s="17"/>
      <c r="C216" s="17"/>
      <c r="D216" s="5"/>
      <c r="E216" s="14"/>
      <c r="F216" s="5"/>
      <c r="G216" s="14"/>
      <c r="H216" s="14"/>
      <c r="I216" s="5"/>
      <c r="J216" s="5"/>
      <c r="K216" s="5"/>
      <c r="L216" s="5"/>
    </row>
    <row r="217" spans="2:12" s="1" customFormat="1">
      <c r="B217" s="17"/>
      <c r="C217" s="17"/>
      <c r="D217" s="5"/>
      <c r="E217" s="14"/>
      <c r="F217" s="5"/>
      <c r="G217" s="14"/>
      <c r="H217" s="14"/>
      <c r="I217" s="5"/>
      <c r="J217" s="5"/>
      <c r="K217" s="5"/>
      <c r="L217" s="5"/>
    </row>
    <row r="218" spans="2:12" s="1" customFormat="1">
      <c r="B218" s="17"/>
      <c r="C218" s="17"/>
      <c r="D218" s="5"/>
      <c r="E218" s="14"/>
      <c r="F218" s="5"/>
      <c r="G218" s="14"/>
      <c r="H218" s="14"/>
      <c r="I218" s="5"/>
      <c r="J218" s="5"/>
      <c r="K218" s="5"/>
      <c r="L218" s="5"/>
    </row>
    <row r="219" spans="2:12" s="14" customFormat="1">
      <c r="B219" s="17"/>
      <c r="C219" s="17"/>
      <c r="D219" s="5"/>
      <c r="F219" s="5"/>
      <c r="I219" s="5"/>
      <c r="J219" s="5"/>
      <c r="K219" s="5"/>
      <c r="L219" s="5"/>
    </row>
    <row r="220" spans="2:12" s="14" customFormat="1">
      <c r="B220" s="17"/>
      <c r="C220" s="17"/>
      <c r="D220" s="5"/>
      <c r="F220" s="5"/>
      <c r="I220" s="5"/>
      <c r="J220" s="5"/>
      <c r="K220" s="5"/>
      <c r="L220" s="5"/>
    </row>
    <row r="221" spans="2:12" s="14" customFormat="1">
      <c r="B221" s="17"/>
      <c r="C221" s="17"/>
      <c r="D221" s="5"/>
      <c r="F221" s="5"/>
      <c r="I221" s="5"/>
      <c r="J221" s="5"/>
      <c r="K221" s="5"/>
      <c r="L221" s="5"/>
    </row>
    <row r="222" spans="2:12" s="14" customFormat="1">
      <c r="B222" s="17"/>
      <c r="C222" s="17"/>
      <c r="D222" s="5"/>
      <c r="F222" s="5"/>
      <c r="I222" s="5"/>
      <c r="J222" s="5"/>
      <c r="K222" s="5"/>
      <c r="L222" s="5"/>
    </row>
    <row r="223" spans="2:12" s="14" customFormat="1">
      <c r="B223" s="17"/>
      <c r="C223" s="17"/>
      <c r="D223" s="5"/>
      <c r="F223" s="5"/>
      <c r="I223" s="5"/>
      <c r="J223" s="5"/>
      <c r="K223" s="5"/>
      <c r="L223" s="5"/>
    </row>
    <row r="224" spans="2:12" s="14" customFormat="1">
      <c r="B224" s="17"/>
      <c r="C224" s="17"/>
      <c r="D224" s="5"/>
      <c r="F224" s="5"/>
      <c r="I224" s="5"/>
      <c r="J224" s="5"/>
      <c r="K224" s="5"/>
      <c r="L224" s="5"/>
    </row>
    <row r="225" spans="2:12" s="14" customFormat="1">
      <c r="B225" s="17"/>
      <c r="C225" s="17"/>
      <c r="D225" s="5"/>
      <c r="F225" s="5"/>
      <c r="I225" s="5"/>
      <c r="J225" s="5"/>
      <c r="K225" s="5"/>
      <c r="L225" s="5"/>
    </row>
    <row r="226" spans="2:12" s="14" customFormat="1">
      <c r="B226" s="17"/>
      <c r="C226" s="17"/>
      <c r="D226" s="5"/>
      <c r="F226" s="5"/>
      <c r="I226" s="5"/>
      <c r="J226" s="5"/>
      <c r="K226" s="5"/>
      <c r="L226" s="5"/>
    </row>
    <row r="227" spans="2:12" s="14" customFormat="1">
      <c r="D227" s="5"/>
      <c r="F227" s="5"/>
      <c r="I227" s="5"/>
      <c r="J227" s="5"/>
      <c r="K227" s="5"/>
      <c r="L227" s="5"/>
    </row>
    <row r="228" spans="2:12" s="14" customFormat="1">
      <c r="D228" s="5"/>
      <c r="F228" s="5"/>
      <c r="I228" s="5"/>
      <c r="J228" s="5"/>
      <c r="K228" s="5"/>
      <c r="L228" s="5"/>
    </row>
    <row r="229" spans="2:12" s="14" customFormat="1">
      <c r="D229" s="5"/>
      <c r="F229" s="5"/>
      <c r="I229" s="5"/>
      <c r="J229" s="5"/>
      <c r="K229" s="5"/>
      <c r="L229" s="5"/>
    </row>
    <row r="230" spans="2:12" s="14" customFormat="1">
      <c r="D230" s="5"/>
      <c r="F230" s="5"/>
      <c r="I230" s="5"/>
      <c r="J230" s="5"/>
      <c r="K230" s="5"/>
      <c r="L230" s="5"/>
    </row>
    <row r="231" spans="2:12" s="14" customFormat="1">
      <c r="D231" s="5"/>
      <c r="F231" s="5"/>
      <c r="I231" s="5"/>
      <c r="J231" s="5"/>
      <c r="K231" s="5"/>
      <c r="L231" s="5"/>
    </row>
    <row r="232" spans="2:12" s="14" customFormat="1">
      <c r="D232" s="5"/>
      <c r="F232" s="5"/>
      <c r="I232" s="5"/>
      <c r="J232" s="5"/>
      <c r="K232" s="5"/>
      <c r="L232" s="5"/>
    </row>
    <row r="233" spans="2:12" s="14" customFormat="1">
      <c r="D233" s="5"/>
      <c r="F233" s="5"/>
      <c r="I233" s="5"/>
      <c r="J233" s="5"/>
      <c r="K233" s="5"/>
      <c r="L233" s="5"/>
    </row>
    <row r="234" spans="2:12" s="14" customFormat="1">
      <c r="D234" s="5"/>
      <c r="F234" s="5"/>
      <c r="I234" s="5"/>
      <c r="J234" s="5"/>
      <c r="K234" s="5"/>
      <c r="L234" s="5"/>
    </row>
    <row r="235" spans="2:12" s="14" customFormat="1">
      <c r="D235" s="5"/>
      <c r="F235" s="5"/>
      <c r="I235" s="5"/>
      <c r="J235" s="5"/>
      <c r="K235" s="5"/>
      <c r="L235" s="5"/>
    </row>
    <row r="236" spans="2:12" s="14" customFormat="1">
      <c r="D236" s="5"/>
      <c r="F236" s="5"/>
      <c r="I236" s="5"/>
      <c r="J236" s="5"/>
      <c r="K236" s="5"/>
      <c r="L236" s="5"/>
    </row>
    <row r="237" spans="2:12" s="14" customFormat="1">
      <c r="D237" s="5"/>
      <c r="F237" s="5"/>
      <c r="I237" s="5"/>
      <c r="J237" s="5"/>
      <c r="K237" s="5"/>
      <c r="L237" s="5"/>
    </row>
    <row r="238" spans="2:12" s="14" customFormat="1">
      <c r="D238" s="5"/>
      <c r="F238" s="5"/>
      <c r="I238" s="5"/>
      <c r="J238" s="5"/>
      <c r="K238" s="5"/>
      <c r="L238" s="5"/>
    </row>
    <row r="239" spans="2:12" s="14" customFormat="1">
      <c r="D239" s="5"/>
      <c r="F239" s="5"/>
      <c r="I239" s="5"/>
      <c r="J239" s="5"/>
      <c r="K239" s="5"/>
      <c r="L239" s="5"/>
    </row>
    <row r="240" spans="2:12" s="14" customFormat="1">
      <c r="D240" s="5"/>
      <c r="F240" s="5"/>
      <c r="I240" s="5"/>
      <c r="J240" s="5"/>
      <c r="K240" s="5"/>
      <c r="L240" s="5"/>
    </row>
    <row r="241" spans="4:12" s="14" customFormat="1">
      <c r="D241" s="5"/>
      <c r="F241" s="5"/>
      <c r="I241" s="5"/>
      <c r="J241" s="5"/>
      <c r="K241" s="5"/>
      <c r="L241" s="5"/>
    </row>
    <row r="242" spans="4:12" s="14" customFormat="1">
      <c r="D242" s="5"/>
      <c r="F242" s="5"/>
      <c r="I242" s="5"/>
      <c r="J242" s="5"/>
      <c r="K242" s="5"/>
      <c r="L242" s="5"/>
    </row>
    <row r="243" spans="4:12" s="14" customFormat="1">
      <c r="D243" s="5"/>
      <c r="F243" s="5"/>
      <c r="I243" s="5"/>
      <c r="J243" s="5"/>
      <c r="K243" s="5"/>
      <c r="L243" s="5"/>
    </row>
    <row r="244" spans="4:12" s="14" customFormat="1">
      <c r="D244" s="5"/>
      <c r="F244" s="5"/>
      <c r="I244" s="5"/>
      <c r="J244" s="5"/>
      <c r="K244" s="5"/>
      <c r="L244" s="5"/>
    </row>
    <row r="245" spans="4:12" s="14" customFormat="1">
      <c r="D245" s="5"/>
      <c r="F245" s="5"/>
      <c r="I245" s="5"/>
      <c r="J245" s="5"/>
      <c r="K245" s="5"/>
      <c r="L245" s="5"/>
    </row>
    <row r="246" spans="4:12" s="14" customFormat="1">
      <c r="D246" s="5"/>
      <c r="F246" s="5"/>
      <c r="I246" s="5"/>
      <c r="J246" s="5"/>
      <c r="K246" s="5"/>
      <c r="L246" s="5"/>
    </row>
    <row r="247" spans="4:12" s="14" customFormat="1">
      <c r="D247" s="5"/>
      <c r="F247" s="5"/>
      <c r="I247" s="5"/>
      <c r="J247" s="5"/>
      <c r="K247" s="5"/>
      <c r="L247" s="5"/>
    </row>
    <row r="248" spans="4:12" s="14" customFormat="1">
      <c r="D248" s="5"/>
      <c r="F248" s="5"/>
      <c r="I248" s="5"/>
      <c r="J248" s="5"/>
      <c r="K248" s="5"/>
      <c r="L248" s="5"/>
    </row>
    <row r="249" spans="4:12" s="14" customFormat="1">
      <c r="D249" s="5"/>
      <c r="F249" s="5"/>
      <c r="I249" s="5"/>
      <c r="J249" s="5"/>
      <c r="K249" s="5"/>
      <c r="L249" s="5"/>
    </row>
    <row r="250" spans="4:12" s="14" customFormat="1">
      <c r="D250" s="5"/>
      <c r="F250" s="5"/>
      <c r="I250" s="5"/>
      <c r="J250" s="5"/>
      <c r="K250" s="5"/>
      <c r="L250" s="5"/>
    </row>
    <row r="251" spans="4:12" s="14" customFormat="1">
      <c r="D251" s="5"/>
      <c r="F251" s="5"/>
      <c r="I251" s="5"/>
      <c r="J251" s="5"/>
      <c r="K251" s="5"/>
      <c r="L251" s="5"/>
    </row>
    <row r="252" spans="4:12" s="14" customFormat="1">
      <c r="D252" s="5"/>
      <c r="F252" s="5"/>
      <c r="I252" s="5"/>
      <c r="J252" s="5"/>
      <c r="K252" s="5"/>
      <c r="L252" s="5"/>
    </row>
    <row r="253" spans="4:12" s="14" customFormat="1">
      <c r="D253" s="5"/>
      <c r="F253" s="5"/>
      <c r="I253" s="5"/>
      <c r="J253" s="5"/>
      <c r="K253" s="5"/>
      <c r="L253" s="5"/>
    </row>
    <row r="254" spans="4:12" s="14" customFormat="1">
      <c r="D254" s="5"/>
      <c r="F254" s="5"/>
      <c r="I254" s="5"/>
      <c r="J254" s="5"/>
      <c r="K254" s="5"/>
      <c r="L254" s="5"/>
    </row>
    <row r="255" spans="4:12" s="14" customFormat="1">
      <c r="D255" s="5"/>
      <c r="F255" s="5"/>
      <c r="I255" s="5"/>
      <c r="J255" s="5"/>
      <c r="K255" s="5"/>
      <c r="L255" s="5"/>
    </row>
    <row r="256" spans="4:12" s="14" customFormat="1">
      <c r="D256" s="5"/>
      <c r="F256" s="5"/>
      <c r="I256" s="5"/>
      <c r="J256" s="5"/>
      <c r="K256" s="5"/>
      <c r="L256" s="5"/>
    </row>
    <row r="257" spans="2:12" s="2" customFormat="1">
      <c r="B257" s="18"/>
      <c r="C257" s="18"/>
      <c r="D257" s="7"/>
      <c r="E257" s="19"/>
      <c r="F257" s="7"/>
      <c r="G257" s="19"/>
      <c r="H257" s="19"/>
      <c r="I257" s="5"/>
      <c r="J257" s="5"/>
      <c r="K257" s="5"/>
      <c r="L257" s="7"/>
    </row>
    <row r="258" spans="2:12" s="2" customFormat="1">
      <c r="B258" s="18"/>
      <c r="C258" s="18"/>
      <c r="D258" s="7"/>
      <c r="E258" s="19"/>
      <c r="F258" s="7"/>
      <c r="G258" s="19"/>
      <c r="H258" s="19"/>
      <c r="I258" s="5"/>
      <c r="J258" s="5"/>
      <c r="K258" s="5"/>
      <c r="L258" s="7"/>
    </row>
    <row r="259" spans="2:12" s="2" customFormat="1">
      <c r="B259" s="18"/>
      <c r="C259" s="18"/>
      <c r="D259" s="7"/>
      <c r="E259" s="19"/>
      <c r="F259" s="7"/>
      <c r="G259" s="19"/>
      <c r="H259" s="19"/>
      <c r="I259" s="5"/>
      <c r="J259" s="5"/>
      <c r="K259" s="5"/>
      <c r="L259" s="7"/>
    </row>
    <row r="260" spans="2:12" s="2" customFormat="1">
      <c r="B260" s="18"/>
      <c r="C260" s="18"/>
      <c r="D260" s="7"/>
      <c r="E260" s="19"/>
      <c r="F260" s="7"/>
      <c r="G260" s="19"/>
      <c r="H260" s="19"/>
      <c r="I260" s="5"/>
      <c r="J260" s="5"/>
      <c r="K260" s="5"/>
      <c r="L260" s="7"/>
    </row>
    <row r="261" spans="2:12" s="2" customFormat="1">
      <c r="B261" s="18"/>
      <c r="C261" s="18"/>
      <c r="D261" s="7"/>
      <c r="E261" s="19"/>
      <c r="F261" s="7"/>
      <c r="G261" s="19"/>
      <c r="H261" s="19"/>
      <c r="I261" s="5"/>
      <c r="J261" s="5"/>
      <c r="K261" s="5"/>
      <c r="L261" s="7"/>
    </row>
    <row r="262" spans="2:12" s="2" customFormat="1">
      <c r="B262" s="18"/>
      <c r="C262" s="18"/>
      <c r="D262" s="7"/>
      <c r="E262" s="19"/>
      <c r="F262" s="7"/>
      <c r="G262" s="19"/>
      <c r="H262" s="19"/>
      <c r="I262" s="5"/>
      <c r="J262" s="5"/>
      <c r="K262" s="5"/>
      <c r="L262" s="7"/>
    </row>
    <row r="263" spans="2:12" s="2" customFormat="1">
      <c r="B263" s="18"/>
      <c r="C263" s="18"/>
      <c r="D263" s="7"/>
      <c r="E263" s="19"/>
      <c r="F263" s="7"/>
      <c r="G263" s="19"/>
      <c r="H263" s="19"/>
      <c r="I263" s="5"/>
      <c r="J263" s="5"/>
      <c r="K263" s="5"/>
      <c r="L263" s="7"/>
    </row>
    <row r="264" spans="2:12" s="2" customFormat="1">
      <c r="B264" s="18"/>
      <c r="C264" s="18"/>
      <c r="D264" s="7"/>
      <c r="E264" s="19"/>
      <c r="F264" s="7"/>
      <c r="G264" s="19"/>
      <c r="H264" s="19"/>
      <c r="I264" s="5"/>
      <c r="J264" s="5"/>
      <c r="K264" s="5"/>
      <c r="L264" s="7"/>
    </row>
    <row r="265" spans="2:12" s="2" customFormat="1">
      <c r="B265" s="18"/>
      <c r="C265" s="18"/>
      <c r="D265" s="7"/>
      <c r="E265" s="19"/>
      <c r="F265" s="7"/>
      <c r="G265" s="19"/>
      <c r="H265" s="19"/>
      <c r="I265" s="5"/>
      <c r="J265" s="5"/>
      <c r="K265" s="5"/>
      <c r="L265" s="7"/>
    </row>
    <row r="266" spans="2:12" s="2" customFormat="1">
      <c r="B266" s="18"/>
      <c r="C266" s="18"/>
      <c r="D266" s="7"/>
      <c r="E266" s="19"/>
      <c r="F266" s="7"/>
      <c r="G266" s="19"/>
      <c r="H266" s="19"/>
      <c r="I266" s="5"/>
      <c r="J266" s="5"/>
      <c r="K266" s="5"/>
      <c r="L266" s="7"/>
    </row>
    <row r="267" spans="2:12" s="2" customFormat="1">
      <c r="B267" s="18"/>
      <c r="C267" s="18"/>
      <c r="D267" s="7"/>
      <c r="E267" s="19"/>
      <c r="F267" s="7"/>
      <c r="G267" s="19"/>
      <c r="H267" s="19"/>
      <c r="I267" s="5"/>
      <c r="J267" s="5"/>
      <c r="K267" s="5"/>
      <c r="L267" s="7"/>
    </row>
    <row r="268" spans="2:12" s="2" customFormat="1">
      <c r="B268" s="18"/>
      <c r="C268" s="18"/>
      <c r="D268" s="7"/>
      <c r="E268" s="19"/>
      <c r="F268" s="7"/>
      <c r="G268" s="19"/>
      <c r="H268" s="19"/>
      <c r="I268" s="5"/>
      <c r="J268" s="5"/>
      <c r="K268" s="5"/>
      <c r="L268" s="7"/>
    </row>
    <row r="269" spans="2:12" s="2" customFormat="1">
      <c r="B269" s="18"/>
      <c r="C269" s="18"/>
      <c r="D269" s="7"/>
      <c r="E269" s="19"/>
      <c r="F269" s="7"/>
      <c r="G269" s="19"/>
      <c r="H269" s="19"/>
      <c r="I269" s="5"/>
      <c r="J269" s="5"/>
      <c r="K269" s="5"/>
      <c r="L269" s="7"/>
    </row>
    <row r="270" spans="2:12" s="2" customFormat="1">
      <c r="B270" s="18"/>
      <c r="C270" s="18"/>
      <c r="D270" s="7"/>
      <c r="E270" s="19"/>
      <c r="F270" s="7"/>
      <c r="G270" s="19"/>
      <c r="H270" s="19"/>
      <c r="I270" s="5"/>
      <c r="J270" s="5"/>
      <c r="K270" s="5"/>
      <c r="L270" s="7"/>
    </row>
    <row r="271" spans="2:12" s="2" customFormat="1">
      <c r="B271" s="18"/>
      <c r="C271" s="18"/>
      <c r="D271" s="7"/>
      <c r="E271" s="19"/>
      <c r="F271" s="7"/>
      <c r="G271" s="19"/>
      <c r="H271" s="19"/>
      <c r="I271" s="5"/>
      <c r="J271" s="5"/>
      <c r="K271" s="5"/>
      <c r="L271" s="7"/>
    </row>
    <row r="272" spans="2:12" s="2" customFormat="1">
      <c r="B272" s="18"/>
      <c r="C272" s="18"/>
      <c r="D272" s="7"/>
      <c r="E272" s="19"/>
      <c r="F272" s="7"/>
      <c r="G272" s="19"/>
      <c r="H272" s="19"/>
      <c r="I272" s="5"/>
      <c r="J272" s="5"/>
      <c r="K272" s="5"/>
      <c r="L272" s="7"/>
    </row>
    <row r="273" spans="2:12" s="2" customFormat="1">
      <c r="B273" s="18"/>
      <c r="C273" s="18"/>
      <c r="D273" s="7"/>
      <c r="E273" s="19"/>
      <c r="F273" s="7"/>
      <c r="G273" s="19"/>
      <c r="H273" s="19"/>
      <c r="I273" s="5"/>
      <c r="J273" s="5"/>
      <c r="K273" s="5"/>
      <c r="L273" s="7"/>
    </row>
    <row r="274" spans="2:12" s="2" customFormat="1">
      <c r="B274" s="18"/>
      <c r="C274" s="18"/>
      <c r="D274" s="7"/>
      <c r="E274" s="19"/>
      <c r="F274" s="7"/>
      <c r="G274" s="19"/>
      <c r="H274" s="19"/>
      <c r="I274" s="5"/>
      <c r="J274" s="5"/>
      <c r="K274" s="5"/>
      <c r="L274" s="7"/>
    </row>
    <row r="275" spans="2:12" s="2" customFormat="1">
      <c r="B275" s="18"/>
      <c r="C275" s="18"/>
      <c r="D275" s="7"/>
      <c r="E275" s="19"/>
      <c r="F275" s="7"/>
      <c r="G275" s="19"/>
      <c r="H275" s="19"/>
      <c r="I275" s="5"/>
      <c r="J275" s="5"/>
      <c r="K275" s="5"/>
      <c r="L275" s="7"/>
    </row>
    <row r="276" spans="2:12" s="2" customFormat="1">
      <c r="B276" s="18"/>
      <c r="C276" s="18"/>
      <c r="D276" s="7"/>
      <c r="E276" s="19"/>
      <c r="F276" s="7"/>
      <c r="G276" s="19"/>
      <c r="H276" s="19"/>
      <c r="I276" s="5"/>
      <c r="J276" s="5"/>
      <c r="K276" s="5"/>
      <c r="L276" s="7"/>
    </row>
    <row r="277" spans="2:12" s="2" customFormat="1">
      <c r="B277" s="18"/>
      <c r="C277" s="18"/>
      <c r="D277" s="7"/>
      <c r="E277" s="19"/>
      <c r="F277" s="7"/>
      <c r="G277" s="19"/>
      <c r="H277" s="19"/>
      <c r="I277" s="5"/>
      <c r="J277" s="5"/>
      <c r="K277" s="5"/>
      <c r="L277" s="7"/>
    </row>
    <row r="278" spans="2:12" s="2" customFormat="1">
      <c r="B278" s="18"/>
      <c r="C278" s="18"/>
      <c r="D278" s="7"/>
      <c r="E278" s="19"/>
      <c r="F278" s="7"/>
      <c r="G278" s="19"/>
      <c r="H278" s="19"/>
      <c r="I278" s="5"/>
      <c r="J278" s="5"/>
      <c r="K278" s="5"/>
      <c r="L278" s="7"/>
    </row>
    <row r="279" spans="2:12" s="2" customFormat="1">
      <c r="B279" s="18"/>
      <c r="C279" s="18"/>
      <c r="D279" s="7"/>
      <c r="E279" s="19"/>
      <c r="F279" s="7"/>
      <c r="G279" s="19"/>
      <c r="H279" s="19"/>
      <c r="I279" s="5"/>
      <c r="J279" s="5"/>
      <c r="K279" s="5"/>
      <c r="L279" s="7"/>
    </row>
    <row r="280" spans="2:12" s="2" customFormat="1">
      <c r="B280" s="18"/>
      <c r="C280" s="18"/>
      <c r="D280" s="7"/>
      <c r="E280" s="19"/>
      <c r="F280" s="7"/>
      <c r="G280" s="19"/>
      <c r="H280" s="19"/>
      <c r="I280" s="5"/>
      <c r="J280" s="5"/>
      <c r="K280" s="5"/>
      <c r="L280" s="7"/>
    </row>
    <row r="281" spans="2:12" s="2" customFormat="1">
      <c r="B281" s="18"/>
      <c r="C281" s="18"/>
      <c r="D281" s="7"/>
      <c r="E281" s="19"/>
      <c r="F281" s="7"/>
      <c r="G281" s="19"/>
      <c r="H281" s="19"/>
      <c r="I281" s="5"/>
      <c r="J281" s="5"/>
      <c r="K281" s="5"/>
      <c r="L281" s="7"/>
    </row>
    <row r="282" spans="2:12" s="2" customFormat="1">
      <c r="B282" s="18"/>
      <c r="C282" s="18"/>
      <c r="D282" s="7"/>
      <c r="E282" s="19"/>
      <c r="F282" s="7"/>
      <c r="G282" s="19"/>
      <c r="H282" s="19"/>
      <c r="I282" s="5"/>
      <c r="J282" s="5"/>
      <c r="K282" s="5"/>
      <c r="L282" s="7"/>
    </row>
    <row r="283" spans="2:12" s="2" customFormat="1">
      <c r="B283" s="18"/>
      <c r="C283" s="18"/>
      <c r="D283" s="7"/>
      <c r="E283" s="19"/>
      <c r="F283" s="7"/>
      <c r="G283" s="19"/>
      <c r="H283" s="19"/>
      <c r="I283" s="5"/>
      <c r="J283" s="5"/>
      <c r="K283" s="5"/>
      <c r="L283" s="7"/>
    </row>
    <row r="284" spans="2:12" s="2" customFormat="1">
      <c r="B284" s="18"/>
      <c r="C284" s="18"/>
      <c r="D284" s="7"/>
      <c r="E284" s="19"/>
      <c r="F284" s="7"/>
      <c r="G284" s="19"/>
      <c r="H284" s="19"/>
      <c r="I284" s="5"/>
      <c r="J284" s="5"/>
      <c r="K284" s="5"/>
      <c r="L284" s="7"/>
    </row>
    <row r="285" spans="2:12" s="2" customFormat="1">
      <c r="B285" s="18"/>
      <c r="C285" s="18"/>
      <c r="D285" s="7"/>
      <c r="E285" s="19"/>
      <c r="F285" s="7"/>
      <c r="G285" s="19"/>
      <c r="H285" s="19"/>
      <c r="I285" s="5"/>
      <c r="J285" s="5"/>
      <c r="K285" s="5"/>
      <c r="L285" s="7"/>
    </row>
    <row r="286" spans="2:12" s="2" customFormat="1">
      <c r="B286" s="18"/>
      <c r="C286" s="18"/>
      <c r="D286" s="7"/>
      <c r="E286" s="19"/>
      <c r="F286" s="7"/>
      <c r="G286" s="19"/>
      <c r="H286" s="19"/>
      <c r="I286" s="5"/>
      <c r="J286" s="5"/>
      <c r="K286" s="5"/>
      <c r="L286" s="7"/>
    </row>
    <row r="287" spans="2:12" s="2" customFormat="1">
      <c r="B287" s="18"/>
      <c r="C287" s="18"/>
      <c r="D287" s="7"/>
      <c r="E287" s="19"/>
      <c r="F287" s="7"/>
      <c r="G287" s="19"/>
      <c r="H287" s="19"/>
      <c r="I287" s="5"/>
      <c r="J287" s="5"/>
      <c r="K287" s="5"/>
      <c r="L287" s="7"/>
    </row>
    <row r="288" spans="2:12" s="2" customFormat="1">
      <c r="B288" s="18"/>
      <c r="C288" s="18"/>
      <c r="D288" s="7"/>
      <c r="E288" s="19"/>
      <c r="F288" s="7"/>
      <c r="G288" s="19"/>
      <c r="H288" s="19"/>
      <c r="I288" s="5"/>
      <c r="J288" s="5"/>
      <c r="K288" s="5"/>
      <c r="L288" s="7"/>
    </row>
    <row r="289" spans="2:12" s="2" customFormat="1">
      <c r="B289" s="18"/>
      <c r="C289" s="18"/>
      <c r="D289" s="7"/>
      <c r="E289" s="19"/>
      <c r="F289" s="7"/>
      <c r="G289" s="19"/>
      <c r="H289" s="19"/>
      <c r="I289" s="5"/>
      <c r="J289" s="5"/>
      <c r="K289" s="5"/>
      <c r="L289" s="7"/>
    </row>
    <row r="290" spans="2:12" ht="21">
      <c r="B290" s="9"/>
      <c r="C290" s="9"/>
    </row>
    <row r="291" spans="2:12">
      <c r="B291" s="10"/>
      <c r="C291" s="10"/>
      <c r="E291" s="11"/>
      <c r="F291" s="4"/>
      <c r="G291" s="11"/>
      <c r="H291" s="11"/>
      <c r="L291" s="4"/>
    </row>
    <row r="292" spans="2:12">
      <c r="D292" s="4"/>
    </row>
    <row r="350" spans="2:12" ht="21">
      <c r="B350" s="9"/>
      <c r="C350" s="9"/>
    </row>
    <row r="351" spans="2:12">
      <c r="B351" s="10"/>
      <c r="C351" s="10"/>
      <c r="E351" s="11"/>
      <c r="F351" s="4"/>
      <c r="G351" s="11"/>
      <c r="H351" s="11"/>
      <c r="L351" s="4"/>
    </row>
    <row r="352" spans="2:12">
      <c r="D352" s="4"/>
    </row>
    <row r="410" spans="2:12" ht="21">
      <c r="B410" s="9"/>
      <c r="C410" s="9"/>
    </row>
    <row r="411" spans="2:12">
      <c r="B411" s="10"/>
      <c r="C411" s="10"/>
      <c r="E411" s="11"/>
      <c r="F411" s="4"/>
      <c r="G411" s="11"/>
      <c r="H411" s="11"/>
      <c r="L411" s="4"/>
    </row>
    <row r="412" spans="2:12">
      <c r="D412" s="4"/>
    </row>
    <row r="445" spans="2:12" ht="21">
      <c r="B445" s="9"/>
      <c r="C445" s="9"/>
    </row>
    <row r="446" spans="2:12">
      <c r="B446" s="10"/>
      <c r="C446" s="10"/>
      <c r="E446" s="11"/>
      <c r="F446" s="4"/>
      <c r="G446" s="11"/>
      <c r="H446" s="11"/>
      <c r="L446" s="4"/>
    </row>
    <row r="447" spans="2:12">
      <c r="D447" s="4"/>
    </row>
    <row r="497" spans="2:12" ht="21">
      <c r="B497" s="9"/>
      <c r="C497" s="9"/>
    </row>
    <row r="498" spans="2:12">
      <c r="B498" s="10"/>
      <c r="C498" s="10"/>
      <c r="E498" s="11"/>
      <c r="F498" s="4"/>
      <c r="G498" s="11"/>
      <c r="H498" s="11"/>
      <c r="L498" s="4"/>
    </row>
    <row r="499" spans="2:12">
      <c r="D499" s="4"/>
    </row>
    <row r="532" spans="2:12" ht="21">
      <c r="B532" s="9"/>
      <c r="C532" s="9"/>
    </row>
    <row r="533" spans="2:12">
      <c r="B533" s="10"/>
      <c r="C533" s="10"/>
      <c r="E533" s="11"/>
      <c r="F533" s="4"/>
      <c r="G533" s="11"/>
      <c r="H533" s="11"/>
      <c r="L533" s="4"/>
    </row>
    <row r="534" spans="2:12">
      <c r="D534" s="4"/>
    </row>
    <row r="598" spans="2:12" ht="21">
      <c r="B598" s="9"/>
      <c r="C598" s="9"/>
    </row>
    <row r="599" spans="2:12">
      <c r="B599" s="10"/>
      <c r="C599" s="10"/>
      <c r="E599" s="11"/>
      <c r="F599" s="4"/>
      <c r="G599" s="11"/>
      <c r="H599" s="11"/>
      <c r="L599" s="4"/>
    </row>
    <row r="600" spans="2:12">
      <c r="D600" s="4"/>
    </row>
    <row r="625" spans="2:4">
      <c r="B625" s="20"/>
      <c r="C625" s="20"/>
    </row>
    <row r="626" spans="2:4">
      <c r="D626" s="53"/>
    </row>
  </sheetData>
  <hyperlinks>
    <hyperlink ref="F64" r:id="rId1" xr:uid="{196A03D6-040A-4275-9626-87A6D453158A}"/>
    <hyperlink ref="F4" r:id="rId2" xr:uid="{EA9E86CB-A03A-4A4A-8D65-48F630486B48}"/>
    <hyperlink ref="F6" r:id="rId3" xr:uid="{C1546142-EADD-4815-BF1F-315E09A57067}"/>
    <hyperlink ref="F5" r:id="rId4" display="mailto:vmazroue@ualberta.ca" xr:uid="{E55807EA-4216-453C-84DD-B0B3DC45B6CB}"/>
    <hyperlink ref="F7" r:id="rId5" xr:uid="{26E52E4C-3012-4942-9F3D-98132D6ED3D8}"/>
    <hyperlink ref="F8" r:id="rId6" xr:uid="{51F5F742-C67E-44C0-A78F-5BDF2668FFF2}"/>
    <hyperlink ref="F9" r:id="rId7" xr:uid="{8C9B5004-CD3A-49F8-84FA-B61BF952D9E2}"/>
    <hyperlink ref="F11" r:id="rId8" xr:uid="{2F2D98C9-97D2-404D-88E9-2138631729FD}"/>
    <hyperlink ref="F12" r:id="rId9" xr:uid="{A492EF61-70A5-48BF-9C22-8C21AC1EE348}"/>
    <hyperlink ref="F13" r:id="rId10" xr:uid="{C749FEC9-3768-44B1-9C9E-D86886200949}"/>
    <hyperlink ref="F14" r:id="rId11" xr:uid="{D5F76F02-3DD6-4F69-8A85-A688A6590DB0}"/>
    <hyperlink ref="F10" r:id="rId12" xr:uid="{0FA6DAB5-9F21-4616-8E6B-8D836A6E9926}"/>
    <hyperlink ref="F19" r:id="rId13" xr:uid="{02F3979D-0F7E-49B3-8081-F77DE2D6E113}"/>
    <hyperlink ref="F18" r:id="rId14" xr:uid="{57B46DFE-2F84-4A16-ADAF-B7245A56CE4A}"/>
    <hyperlink ref="F17" r:id="rId15" display="baitchison@dukemanagement.ca" xr:uid="{8C449148-7C5D-4B2C-A7B8-6928B8C8F126}"/>
    <hyperlink ref="F23" r:id="rId16" display="baitchison@dukemanagement.ca" xr:uid="{2F03EE4C-AAB8-466E-8FF5-0F159E634330}"/>
    <hyperlink ref="F24" r:id="rId17" xr:uid="{3141CE28-955A-4560-93CA-252C7AB118E3}"/>
    <hyperlink ref="F26" r:id="rId18" display="m.sheehan@l7arch.ca" xr:uid="{F3C53391-A73B-4794-A979-DD38AEF273A7}"/>
    <hyperlink ref="F25" r:id="rId19" xr:uid="{C4C0A724-5128-4C7B-9500-897F61D05F8D}"/>
    <hyperlink ref="F16" r:id="rId20" xr:uid="{29C370DA-A884-4CDC-8E5E-E2DBFF6BE201}"/>
    <hyperlink ref="F20" r:id="rId21" xr:uid="{6DB35C6A-4A1E-4290-9A9F-7317AE551FA8}"/>
    <hyperlink ref="F22" r:id="rId22" xr:uid="{CCDC7647-C2C8-45E8-A031-CCD1646DB551}"/>
    <hyperlink ref="F27" r:id="rId23" xr:uid="{96B1815B-A37E-45B3-A6C6-F9618DB0F4B1}"/>
    <hyperlink ref="F28" r:id="rId24" xr:uid="{15F6B3F5-6F78-4FE8-A982-65BB76A7B0AF}"/>
    <hyperlink ref="F21" r:id="rId25" display="baitchison@dukemanagement.ca" xr:uid="{8651FE07-7AE0-46FD-B5C3-2445E16632C4}"/>
    <hyperlink ref="F15" r:id="rId26" display="telshimi@thurber.ca" xr:uid="{51EACF77-97B3-4543-942A-8C0576FED7E3}"/>
    <hyperlink ref="F30" r:id="rId27" xr:uid="{8F0E05E9-1D51-433B-A2B1-4411025E18EB}"/>
    <hyperlink ref="F34" r:id="rId28" xr:uid="{1F7DD183-3D2F-4017-AD9D-6FF099E70A9F}"/>
  </hyperlinks>
  <pageMargins left="0.70866141732283472" right="0.70866141732283472" top="0.74803149606299213" bottom="0.74803149606299213" header="0.31496062992125984" footer="0.31496062992125984"/>
  <pageSetup scale="41" fitToHeight="3" orientation="landscape" r:id="rId29"/>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Title="Type of BD Activity" prompt="Please select from the list" xr:uid="{04AB729A-CD15-4901-B2C2-D16B99FD6F8D}">
          <x14:formula1>
            <xm:f>'contact type'!$A$1:$A$9</xm:f>
          </x14:formula1>
          <xm:sqref>H62:H64 H57:H60 H70 H4:H50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D3DA-608C-437B-B2CD-E5863C200303}">
  <sheetPr>
    <pageSetUpPr fitToPage="1"/>
  </sheetPr>
  <dimension ref="A1:N609"/>
  <sheetViews>
    <sheetView topLeftCell="E1" zoomScaleNormal="100" workbookViewId="0">
      <pane ySplit="3" topLeftCell="A4" activePane="bottomLeft" state="frozen"/>
      <selection pane="bottomLeft" activeCell="F23" sqref="F23"/>
    </sheetView>
  </sheetViews>
  <sheetFormatPr defaultRowHeight="15"/>
  <cols>
    <col min="1" max="1" width="5.7109375" customWidth="1"/>
    <col min="2" max="2" width="11.85546875" style="12" customWidth="1"/>
    <col min="3" max="3" width="20.7109375" style="12" customWidth="1"/>
    <col min="4" max="4" width="29.5703125" style="8" customWidth="1"/>
    <col min="5" max="5" width="26.5703125" style="8" customWidth="1"/>
    <col min="6" max="6" width="67.85546875" style="8" customWidth="1"/>
    <col min="7" max="7" width="15.42578125" style="8" customWidth="1"/>
    <col min="8" max="8" width="16" style="8" customWidth="1"/>
    <col min="9" max="9" width="43.42578125" style="5" customWidth="1"/>
    <col min="10" max="10" width="22.140625" style="5" customWidth="1"/>
    <col min="11" max="11" width="24.42578125" style="5" customWidth="1"/>
    <col min="12" max="12" width="107.5703125" style="3" customWidth="1"/>
    <col min="13" max="13" width="32.85546875" customWidth="1"/>
    <col min="14" max="14" width="2.5703125" customWidth="1"/>
    <col min="16" max="16" width="13.85546875" bestFit="1" customWidth="1"/>
  </cols>
  <sheetData>
    <row r="1" spans="1:12" ht="26.25">
      <c r="A1" s="22" t="s">
        <v>392</v>
      </c>
    </row>
    <row r="2" spans="1:12" s="1" customFormat="1">
      <c r="D2" s="14"/>
      <c r="E2" s="14"/>
      <c r="F2" s="14"/>
      <c r="G2" s="14"/>
      <c r="H2" s="14"/>
      <c r="I2" s="5"/>
      <c r="J2" s="32"/>
      <c r="K2" s="5"/>
      <c r="L2" s="5"/>
    </row>
    <row r="3" spans="1:12" s="27" customFormat="1">
      <c r="A3" s="29" t="s">
        <v>40</v>
      </c>
      <c r="B3" s="28" t="s">
        <v>41</v>
      </c>
      <c r="C3" s="28" t="s">
        <v>42</v>
      </c>
      <c r="D3" s="29" t="s">
        <v>43</v>
      </c>
      <c r="E3" s="29" t="s">
        <v>44</v>
      </c>
      <c r="F3" s="29" t="s">
        <v>45</v>
      </c>
      <c r="G3" s="29" t="s">
        <v>46</v>
      </c>
      <c r="H3" s="29" t="s">
        <v>47</v>
      </c>
      <c r="I3" s="30" t="s">
        <v>48</v>
      </c>
      <c r="J3" s="30" t="s">
        <v>49</v>
      </c>
      <c r="K3" s="30" t="s">
        <v>50</v>
      </c>
      <c r="L3" s="27" t="s">
        <v>51</v>
      </c>
    </row>
    <row r="4" spans="1:12" s="1" customFormat="1">
      <c r="A4" s="17">
        <v>1</v>
      </c>
      <c r="B4" s="23">
        <v>45926</v>
      </c>
      <c r="C4" s="23" t="s">
        <v>78</v>
      </c>
      <c r="D4" s="14" t="s">
        <v>393</v>
      </c>
      <c r="E4" s="14" t="s">
        <v>394</v>
      </c>
      <c r="F4" s="51" t="s">
        <v>395</v>
      </c>
      <c r="G4" s="8" t="s">
        <v>396</v>
      </c>
      <c r="H4" s="14" t="s">
        <v>57</v>
      </c>
      <c r="I4" s="5"/>
      <c r="J4" s="25"/>
      <c r="K4" s="25"/>
      <c r="L4" s="5" t="s">
        <v>397</v>
      </c>
    </row>
    <row r="5" spans="1:12" s="1" customFormat="1">
      <c r="A5" s="17">
        <v>2</v>
      </c>
      <c r="B5" s="23">
        <v>45926</v>
      </c>
      <c r="C5" s="23" t="s">
        <v>78</v>
      </c>
      <c r="D5" s="14" t="s">
        <v>398</v>
      </c>
      <c r="E5" s="14" t="s">
        <v>399</v>
      </c>
      <c r="F5" s="51" t="s">
        <v>400</v>
      </c>
      <c r="G5" s="8" t="s">
        <v>401</v>
      </c>
      <c r="H5" s="14" t="s">
        <v>57</v>
      </c>
      <c r="I5" s="5" t="s">
        <v>402</v>
      </c>
      <c r="J5" s="25">
        <v>110000</v>
      </c>
      <c r="K5" s="25"/>
      <c r="L5" s="5" t="s">
        <v>403</v>
      </c>
    </row>
    <row r="6" spans="1:12" s="1" customFormat="1">
      <c r="A6" s="17">
        <v>3</v>
      </c>
      <c r="B6" s="23">
        <v>45926</v>
      </c>
      <c r="C6" s="23" t="s">
        <v>78</v>
      </c>
      <c r="D6" s="14" t="s">
        <v>404</v>
      </c>
      <c r="E6" s="14" t="s">
        <v>405</v>
      </c>
      <c r="F6" s="51" t="s">
        <v>406</v>
      </c>
      <c r="G6" s="8" t="s">
        <v>396</v>
      </c>
      <c r="H6" s="14" t="s">
        <v>57</v>
      </c>
      <c r="I6" s="5"/>
      <c r="J6" s="25"/>
      <c r="K6" s="25"/>
      <c r="L6" s="5" t="s">
        <v>407</v>
      </c>
    </row>
    <row r="7" spans="1:12" s="1" customFormat="1">
      <c r="A7" s="17">
        <v>4</v>
      </c>
      <c r="B7" s="23">
        <v>45968</v>
      </c>
      <c r="C7" s="23" t="s">
        <v>78</v>
      </c>
      <c r="D7" s="14" t="s">
        <v>408</v>
      </c>
      <c r="E7" s="14" t="s">
        <v>409</v>
      </c>
      <c r="F7" s="51" t="s">
        <v>410</v>
      </c>
      <c r="G7" s="8" t="s">
        <v>411</v>
      </c>
      <c r="H7" s="14" t="s">
        <v>57</v>
      </c>
      <c r="I7" s="5" t="s">
        <v>412</v>
      </c>
      <c r="J7" s="25">
        <v>150000</v>
      </c>
      <c r="K7" s="25"/>
      <c r="L7" s="5" t="s">
        <v>413</v>
      </c>
    </row>
    <row r="8" spans="1:12" s="1" customFormat="1">
      <c r="A8" s="17">
        <v>5</v>
      </c>
      <c r="B8" s="23">
        <v>45968</v>
      </c>
      <c r="C8" s="23" t="s">
        <v>78</v>
      </c>
      <c r="D8" s="14" t="s">
        <v>414</v>
      </c>
      <c r="E8" s="14" t="s">
        <v>415</v>
      </c>
      <c r="F8" s="51" t="s">
        <v>416</v>
      </c>
      <c r="G8" s="8" t="s">
        <v>396</v>
      </c>
      <c r="H8" s="14" t="s">
        <v>57</v>
      </c>
      <c r="I8" s="5" t="s">
        <v>417</v>
      </c>
      <c r="J8" s="25">
        <v>40000</v>
      </c>
      <c r="K8" s="25">
        <v>40000</v>
      </c>
      <c r="L8" s="5" t="s">
        <v>418</v>
      </c>
    </row>
    <row r="9" spans="1:12" s="1" customFormat="1">
      <c r="A9" s="17">
        <v>6</v>
      </c>
      <c r="B9" s="23">
        <v>45968</v>
      </c>
      <c r="C9" s="23" t="s">
        <v>78</v>
      </c>
      <c r="D9" s="14" t="s">
        <v>419</v>
      </c>
      <c r="E9" s="14" t="s">
        <v>420</v>
      </c>
      <c r="F9" s="51" t="s">
        <v>421</v>
      </c>
      <c r="G9" s="8" t="s">
        <v>396</v>
      </c>
      <c r="H9" s="14" t="s">
        <v>57</v>
      </c>
      <c r="I9" s="5"/>
      <c r="J9" s="25"/>
      <c r="K9" s="25"/>
      <c r="L9" s="5" t="s">
        <v>422</v>
      </c>
    </row>
    <row r="10" spans="1:12" s="1" customFormat="1">
      <c r="A10" s="17">
        <v>7</v>
      </c>
      <c r="B10" s="23">
        <v>46002</v>
      </c>
      <c r="C10" s="23" t="s">
        <v>78</v>
      </c>
      <c r="D10" s="14" t="s">
        <v>93</v>
      </c>
      <c r="E10" s="14" t="s">
        <v>423</v>
      </c>
      <c r="F10" s="51" t="s">
        <v>95</v>
      </c>
      <c r="G10" s="8" t="s">
        <v>396</v>
      </c>
      <c r="H10" s="14" t="s">
        <v>86</v>
      </c>
      <c r="I10" s="5"/>
      <c r="J10" s="25"/>
      <c r="K10" s="25"/>
      <c r="L10" s="5" t="s">
        <v>424</v>
      </c>
    </row>
    <row r="11" spans="1:12" s="1" customFormat="1" ht="30">
      <c r="A11" s="17">
        <v>8</v>
      </c>
      <c r="B11" s="23">
        <v>46006</v>
      </c>
      <c r="C11" s="23" t="s">
        <v>78</v>
      </c>
      <c r="D11" s="14" t="s">
        <v>425</v>
      </c>
      <c r="E11" s="14" t="s">
        <v>426</v>
      </c>
      <c r="F11" s="51" t="s">
        <v>427</v>
      </c>
      <c r="G11" s="8" t="s">
        <v>396</v>
      </c>
      <c r="H11" s="14" t="s">
        <v>57</v>
      </c>
      <c r="I11" s="5" t="s">
        <v>428</v>
      </c>
      <c r="J11" s="25">
        <v>125000</v>
      </c>
      <c r="K11" s="25">
        <v>15000</v>
      </c>
      <c r="L11" s="5" t="s">
        <v>429</v>
      </c>
    </row>
    <row r="12" spans="1:12" s="1" customFormat="1">
      <c r="A12" s="17">
        <v>9</v>
      </c>
      <c r="B12" s="23">
        <v>46031</v>
      </c>
      <c r="C12" s="23" t="s">
        <v>78</v>
      </c>
      <c r="D12" s="14" t="s">
        <v>430</v>
      </c>
      <c r="E12" s="14" t="s">
        <v>431</v>
      </c>
      <c r="F12" s="51" t="s">
        <v>432</v>
      </c>
      <c r="G12" s="8"/>
      <c r="H12" s="14" t="s">
        <v>72</v>
      </c>
      <c r="I12" s="5"/>
      <c r="J12" s="25"/>
      <c r="K12" s="25"/>
      <c r="L12" s="5" t="s">
        <v>433</v>
      </c>
    </row>
    <row r="13" spans="1:12" s="1" customFormat="1">
      <c r="A13" s="17">
        <v>10</v>
      </c>
      <c r="B13" s="23">
        <v>46042</v>
      </c>
      <c r="C13" s="23" t="s">
        <v>78</v>
      </c>
      <c r="D13" s="14" t="s">
        <v>434</v>
      </c>
      <c r="E13" s="14" t="s">
        <v>435</v>
      </c>
      <c r="F13" s="51" t="s">
        <v>436</v>
      </c>
      <c r="G13" s="8" t="s">
        <v>396</v>
      </c>
      <c r="H13" s="14" t="s">
        <v>57</v>
      </c>
      <c r="I13" s="5"/>
      <c r="J13" s="25"/>
      <c r="K13" s="25"/>
      <c r="L13" s="5" t="s">
        <v>437</v>
      </c>
    </row>
    <row r="14" spans="1:12" s="1" customFormat="1">
      <c r="A14" s="17">
        <v>11</v>
      </c>
      <c r="B14" s="23">
        <v>46042</v>
      </c>
      <c r="C14" s="23" t="s">
        <v>78</v>
      </c>
      <c r="D14" s="14" t="s">
        <v>438</v>
      </c>
      <c r="E14" s="14" t="s">
        <v>439</v>
      </c>
      <c r="F14" s="51" t="s">
        <v>440</v>
      </c>
      <c r="G14" s="8" t="s">
        <v>396</v>
      </c>
      <c r="H14" s="14" t="s">
        <v>57</v>
      </c>
      <c r="I14" s="5" t="s">
        <v>441</v>
      </c>
      <c r="J14" s="25">
        <v>36000</v>
      </c>
      <c r="K14" s="25">
        <v>36000</v>
      </c>
      <c r="L14" s="5" t="s">
        <v>442</v>
      </c>
    </row>
    <row r="15" spans="1:12" s="1" customFormat="1">
      <c r="A15" s="17">
        <v>12</v>
      </c>
      <c r="B15" s="23">
        <v>46104</v>
      </c>
      <c r="C15" s="23" t="s">
        <v>78</v>
      </c>
      <c r="D15" s="14" t="s">
        <v>443</v>
      </c>
      <c r="E15" s="14" t="s">
        <v>444</v>
      </c>
      <c r="F15" s="51" t="s">
        <v>445</v>
      </c>
      <c r="G15" s="8" t="s">
        <v>396</v>
      </c>
      <c r="H15" s="14" t="s">
        <v>57</v>
      </c>
      <c r="I15" s="5"/>
      <c r="J15" s="25"/>
      <c r="K15" s="25"/>
      <c r="L15" s="5" t="s">
        <v>446</v>
      </c>
    </row>
    <row r="16" spans="1:12" s="1" customFormat="1">
      <c r="A16" s="17">
        <v>13</v>
      </c>
      <c r="B16" s="23"/>
      <c r="C16" s="23" t="s">
        <v>69</v>
      </c>
      <c r="D16" s="14" t="s">
        <v>447</v>
      </c>
      <c r="E16" s="14" t="s">
        <v>448</v>
      </c>
      <c r="F16" s="51" t="s">
        <v>449</v>
      </c>
      <c r="G16" s="8"/>
      <c r="H16" s="14" t="s">
        <v>275</v>
      </c>
      <c r="I16" s="5" t="s">
        <v>450</v>
      </c>
      <c r="J16" s="25"/>
      <c r="K16" s="25"/>
      <c r="L16" s="5"/>
    </row>
    <row r="17" spans="1:12" s="1" customFormat="1" ht="15.75" thickBot="1">
      <c r="A17" s="17">
        <v>14</v>
      </c>
      <c r="B17" s="23">
        <v>46148</v>
      </c>
      <c r="C17" s="23" t="s">
        <v>78</v>
      </c>
      <c r="D17" s="14" t="s">
        <v>451</v>
      </c>
      <c r="E17" s="14" t="s">
        <v>452</v>
      </c>
      <c r="F17" s="31" t="s">
        <v>453</v>
      </c>
      <c r="G17" s="14" t="s">
        <v>244</v>
      </c>
      <c r="H17" s="14" t="s">
        <v>57</v>
      </c>
      <c r="I17" s="5"/>
      <c r="J17" s="25"/>
      <c r="K17" s="5"/>
      <c r="L17" s="62" t="s">
        <v>454</v>
      </c>
    </row>
    <row r="18" spans="1:12" s="1" customFormat="1" ht="45">
      <c r="A18" s="17">
        <v>15</v>
      </c>
      <c r="B18" s="23">
        <v>46150</v>
      </c>
      <c r="C18" s="23" t="s">
        <v>78</v>
      </c>
      <c r="D18" s="14" t="s">
        <v>455</v>
      </c>
      <c r="E18" s="14" t="s">
        <v>292</v>
      </c>
      <c r="F18" s="31" t="s">
        <v>456</v>
      </c>
      <c r="G18" s="14" t="s">
        <v>244</v>
      </c>
      <c r="H18" s="14" t="s">
        <v>57</v>
      </c>
      <c r="I18" s="5" t="s">
        <v>457</v>
      </c>
      <c r="J18" s="25"/>
      <c r="K18" s="5"/>
      <c r="L18" s="62" t="s">
        <v>458</v>
      </c>
    </row>
    <row r="19" spans="1:12" s="1" customFormat="1" ht="15.75" thickTop="1">
      <c r="A19" s="34" t="s">
        <v>16</v>
      </c>
      <c r="B19" s="35"/>
      <c r="C19" s="35"/>
      <c r="D19" s="36"/>
      <c r="E19" s="36"/>
      <c r="F19" s="36"/>
      <c r="G19" s="36"/>
      <c r="H19" s="36"/>
      <c r="I19" s="37"/>
      <c r="J19" s="38"/>
      <c r="K19" s="37"/>
      <c r="L19" s="37"/>
    </row>
    <row r="20" spans="1:12" s="1" customFormat="1">
      <c r="A20" s="24">
        <f>A18</f>
        <v>15</v>
      </c>
      <c r="B20" s="23"/>
      <c r="C20" s="23"/>
      <c r="D20" s="14"/>
      <c r="E20" s="14"/>
      <c r="F20" s="14"/>
      <c r="G20" s="14"/>
      <c r="H20" s="14"/>
      <c r="I20" s="5"/>
      <c r="J20" s="25">
        <f>SUM(J4:J19)</f>
        <v>461000</v>
      </c>
      <c r="K20" s="25">
        <f>SUM(K4:K19)</f>
        <v>91000</v>
      </c>
      <c r="L20" s="5"/>
    </row>
    <row r="21" spans="1:12" s="1" customFormat="1">
      <c r="A21" s="17"/>
      <c r="B21" s="23"/>
      <c r="C21" s="23"/>
      <c r="D21" s="14"/>
      <c r="E21" s="14"/>
      <c r="F21" s="31"/>
      <c r="G21" s="8"/>
      <c r="H21" s="14"/>
      <c r="I21" s="5"/>
      <c r="J21" s="5"/>
      <c r="K21" s="5"/>
      <c r="L21" s="5"/>
    </row>
    <row r="22" spans="1:12" s="1" customFormat="1">
      <c r="A22" s="17"/>
      <c r="B22" s="23"/>
      <c r="C22" s="23"/>
      <c r="D22" s="14"/>
      <c r="E22" s="14"/>
      <c r="F22" s="31"/>
      <c r="G22" s="8"/>
      <c r="H22" s="14"/>
      <c r="I22" s="5"/>
      <c r="J22" s="25"/>
      <c r="K22" s="5"/>
      <c r="L22" s="5"/>
    </row>
    <row r="23" spans="1:12" s="1" customFormat="1">
      <c r="A23" s="17"/>
      <c r="B23" s="23"/>
      <c r="C23" s="23"/>
      <c r="D23" s="14"/>
      <c r="E23" s="14"/>
      <c r="F23" s="31"/>
      <c r="G23" s="8"/>
      <c r="H23" s="14"/>
      <c r="I23" s="5"/>
      <c r="J23" s="25"/>
      <c r="K23" s="5"/>
      <c r="L23" s="5"/>
    </row>
    <row r="24" spans="1:12" s="1" customFormat="1">
      <c r="A24" s="24"/>
      <c r="B24" s="23"/>
      <c r="C24" s="23"/>
      <c r="D24" s="14"/>
      <c r="E24" s="14"/>
      <c r="F24" s="31"/>
      <c r="G24" s="14"/>
      <c r="H24" s="14"/>
      <c r="I24" s="5"/>
      <c r="J24" s="25"/>
      <c r="K24" s="5"/>
      <c r="L24" s="5"/>
    </row>
    <row r="25" spans="1:12" s="1" customFormat="1">
      <c r="A25" s="15" t="s">
        <v>142</v>
      </c>
      <c r="B25" s="23"/>
      <c r="C25" s="23"/>
      <c r="D25" s="14"/>
      <c r="E25" s="14"/>
      <c r="F25" s="31"/>
      <c r="G25" s="14"/>
      <c r="H25" s="14"/>
      <c r="I25" s="5"/>
      <c r="J25" s="25"/>
      <c r="K25" s="5"/>
      <c r="L25" s="5"/>
    </row>
    <row r="26" spans="1:12" s="1" customFormat="1">
      <c r="A26" s="24"/>
      <c r="B26" s="23"/>
      <c r="C26" s="23"/>
      <c r="D26" s="14"/>
      <c r="E26" s="14"/>
      <c r="F26" s="14"/>
      <c r="G26" s="14"/>
      <c r="H26" s="14"/>
      <c r="I26" s="5"/>
      <c r="J26" s="25"/>
      <c r="K26" s="5"/>
      <c r="L26" s="5"/>
    </row>
    <row r="27" spans="1:12" s="1" customFormat="1">
      <c r="A27" s="24"/>
      <c r="B27" s="23"/>
      <c r="C27" s="23"/>
      <c r="D27" s="14"/>
      <c r="E27" s="14"/>
      <c r="F27" s="14"/>
      <c r="G27" s="14"/>
      <c r="H27" s="14"/>
      <c r="I27" s="5"/>
      <c r="J27" s="25"/>
      <c r="K27" s="5"/>
      <c r="L27" s="5"/>
    </row>
    <row r="28" spans="1:12" s="1" customFormat="1">
      <c r="A28" s="24"/>
      <c r="B28" s="23"/>
      <c r="C28" s="23"/>
      <c r="D28" s="14"/>
      <c r="E28" s="14"/>
      <c r="F28" s="14"/>
      <c r="G28" s="14"/>
      <c r="H28" s="14"/>
      <c r="I28" s="5"/>
      <c r="J28" s="25"/>
      <c r="K28" s="5"/>
      <c r="L28" s="5"/>
    </row>
    <row r="29" spans="1:12" s="1" customFormat="1">
      <c r="A29" s="24"/>
      <c r="B29" s="23"/>
      <c r="C29" s="23"/>
      <c r="D29" s="14"/>
      <c r="E29" s="14"/>
      <c r="F29" s="14"/>
      <c r="G29" s="14"/>
      <c r="H29" s="14"/>
      <c r="I29" s="5"/>
      <c r="J29" s="25"/>
      <c r="K29" s="5"/>
      <c r="L29" s="5"/>
    </row>
    <row r="30" spans="1:12" s="1" customFormat="1">
      <c r="A30" s="24"/>
      <c r="B30" s="23"/>
      <c r="C30" s="23"/>
      <c r="D30" s="14"/>
      <c r="E30" s="14"/>
      <c r="F30" s="14"/>
      <c r="G30" s="14"/>
      <c r="H30" s="14"/>
      <c r="I30" s="5"/>
      <c r="J30" s="25"/>
      <c r="K30" s="5"/>
      <c r="L30" s="5"/>
    </row>
    <row r="31" spans="1:12" s="1" customFormat="1">
      <c r="A31" s="24"/>
      <c r="B31" s="23"/>
      <c r="C31" s="23"/>
      <c r="D31" s="14"/>
      <c r="E31" s="14"/>
      <c r="F31" s="14"/>
      <c r="G31" s="14"/>
      <c r="H31" s="14"/>
      <c r="I31" s="5"/>
      <c r="J31" s="25"/>
      <c r="K31" s="5"/>
      <c r="L31" s="5"/>
    </row>
    <row r="32" spans="1:12" s="1" customFormat="1">
      <c r="A32" s="24"/>
      <c r="B32" s="23"/>
      <c r="C32" s="23"/>
      <c r="D32" s="14"/>
      <c r="E32" s="14"/>
      <c r="F32" s="14"/>
      <c r="G32" s="14"/>
      <c r="H32" s="14"/>
      <c r="I32" s="5"/>
      <c r="J32" s="25"/>
      <c r="K32" s="5"/>
      <c r="L32" s="5"/>
    </row>
    <row r="33" spans="1:12" s="1" customFormat="1">
      <c r="A33" s="24"/>
      <c r="B33" s="23"/>
      <c r="C33" s="23"/>
      <c r="D33" s="14"/>
      <c r="E33" s="14"/>
      <c r="F33" s="14"/>
      <c r="G33" s="14"/>
      <c r="H33" s="14"/>
      <c r="I33" s="5"/>
      <c r="J33" s="25"/>
      <c r="K33" s="5"/>
      <c r="L33" s="5"/>
    </row>
    <row r="34" spans="1:12" s="1" customFormat="1">
      <c r="A34" s="24"/>
      <c r="B34" s="23"/>
      <c r="C34" s="23"/>
      <c r="D34" s="14"/>
      <c r="E34" s="14"/>
      <c r="F34" s="14"/>
      <c r="G34" s="14"/>
      <c r="H34" s="14"/>
      <c r="I34" s="5"/>
      <c r="J34" s="25"/>
      <c r="K34" s="5"/>
      <c r="L34" s="5"/>
    </row>
    <row r="35" spans="1:12" s="1" customFormat="1">
      <c r="A35" s="24"/>
      <c r="B35" s="23"/>
      <c r="C35" s="23"/>
      <c r="D35" s="14"/>
      <c r="E35" s="14"/>
      <c r="F35" s="14"/>
      <c r="G35" s="14"/>
      <c r="H35" s="14"/>
      <c r="I35" s="5"/>
      <c r="J35" s="25"/>
      <c r="K35" s="5"/>
      <c r="L35" s="5"/>
    </row>
    <row r="36" spans="1:12" s="1" customFormat="1">
      <c r="A36" s="24"/>
      <c r="B36" s="23"/>
      <c r="C36" s="23"/>
      <c r="D36" s="14"/>
      <c r="E36" s="14"/>
      <c r="F36" s="14"/>
      <c r="G36" s="14"/>
      <c r="H36" s="14"/>
      <c r="I36" s="5"/>
      <c r="J36" s="25"/>
      <c r="K36" s="5"/>
      <c r="L36" s="5"/>
    </row>
    <row r="37" spans="1:12" s="1" customFormat="1">
      <c r="A37" s="24"/>
      <c r="B37" s="23"/>
      <c r="C37" s="23"/>
      <c r="D37" s="14"/>
      <c r="E37" s="14"/>
      <c r="F37" s="14"/>
      <c r="G37" s="14"/>
      <c r="H37" s="14"/>
      <c r="I37" s="5"/>
      <c r="J37" s="25"/>
      <c r="K37" s="5"/>
      <c r="L37" s="5"/>
    </row>
    <row r="38" spans="1:12" s="1" customFormat="1">
      <c r="A38" s="24"/>
      <c r="B38" s="23"/>
      <c r="C38" s="23"/>
      <c r="D38" s="14"/>
      <c r="E38" s="14"/>
      <c r="F38" s="14"/>
      <c r="G38" s="14"/>
      <c r="H38" s="14"/>
      <c r="I38" s="5"/>
      <c r="J38" s="25"/>
      <c r="K38" s="5"/>
      <c r="L38" s="5"/>
    </row>
    <row r="39" spans="1:12" s="1" customFormat="1">
      <c r="A39" s="24"/>
      <c r="B39" s="23"/>
      <c r="C39" s="23"/>
      <c r="D39" s="14"/>
      <c r="E39" s="14"/>
      <c r="F39" s="14"/>
      <c r="G39" s="14"/>
      <c r="H39" s="14"/>
      <c r="I39" s="5"/>
      <c r="J39" s="25"/>
      <c r="K39" s="5"/>
      <c r="L39" s="5"/>
    </row>
    <row r="40" spans="1:12" s="1" customFormat="1">
      <c r="A40" s="24"/>
      <c r="B40" s="23"/>
      <c r="C40" s="23"/>
      <c r="D40" s="14"/>
      <c r="E40" s="14"/>
      <c r="F40" s="14"/>
      <c r="G40" s="14"/>
      <c r="H40" s="14"/>
      <c r="I40" s="5"/>
      <c r="J40" s="25"/>
      <c r="K40" s="5"/>
      <c r="L40" s="5"/>
    </row>
    <row r="41" spans="1:12" s="1" customFormat="1">
      <c r="A41" s="24"/>
      <c r="B41" s="23"/>
      <c r="C41" s="23"/>
      <c r="D41" s="14"/>
      <c r="E41" s="14"/>
      <c r="F41" s="14"/>
      <c r="G41" s="14"/>
      <c r="H41" s="14"/>
      <c r="I41" s="5"/>
      <c r="J41" s="25"/>
      <c r="K41" s="5"/>
      <c r="L41" s="5"/>
    </row>
    <row r="42" spans="1:12" s="1" customFormat="1">
      <c r="A42" s="24"/>
      <c r="B42" s="23"/>
      <c r="C42" s="23"/>
      <c r="D42" s="14"/>
      <c r="E42" s="14"/>
      <c r="F42" s="14"/>
      <c r="G42" s="14"/>
      <c r="H42" s="14"/>
      <c r="I42" s="5"/>
      <c r="J42" s="25"/>
      <c r="K42" s="5"/>
      <c r="L42" s="5"/>
    </row>
    <row r="43" spans="1:12" s="1" customFormat="1">
      <c r="A43" s="24"/>
      <c r="B43" s="23"/>
      <c r="C43" s="23"/>
      <c r="D43" s="14"/>
      <c r="E43" s="14"/>
      <c r="F43" s="14"/>
      <c r="G43" s="14"/>
      <c r="H43" s="14"/>
      <c r="I43" s="5"/>
      <c r="J43" s="25"/>
      <c r="K43" s="5"/>
      <c r="L43" s="5"/>
    </row>
    <row r="44" spans="1:12" s="1" customFormat="1">
      <c r="A44" s="24"/>
      <c r="B44" s="23"/>
      <c r="C44" s="23"/>
      <c r="D44" s="14"/>
      <c r="E44" s="14"/>
      <c r="F44" s="14"/>
      <c r="G44" s="14"/>
      <c r="H44" s="14"/>
      <c r="I44" s="5"/>
      <c r="J44" s="25"/>
      <c r="K44" s="5"/>
      <c r="L44" s="5"/>
    </row>
    <row r="45" spans="1:12" s="1" customFormat="1">
      <c r="A45" s="24"/>
      <c r="B45" s="23"/>
      <c r="C45" s="23"/>
      <c r="D45" s="14"/>
      <c r="E45" s="14"/>
      <c r="F45" s="14"/>
      <c r="G45" s="14"/>
      <c r="H45" s="14"/>
      <c r="I45" s="5"/>
      <c r="J45" s="25"/>
      <c r="K45" s="5"/>
      <c r="L45" s="5"/>
    </row>
    <row r="46" spans="1:12" s="1" customFormat="1">
      <c r="A46" s="24"/>
      <c r="B46" s="23"/>
      <c r="C46" s="23"/>
      <c r="D46" s="14"/>
      <c r="E46" s="14"/>
      <c r="F46" s="14"/>
      <c r="G46" s="14"/>
      <c r="H46" s="14"/>
      <c r="I46" s="5"/>
      <c r="J46" s="25"/>
      <c r="K46" s="5"/>
      <c r="L46" s="5"/>
    </row>
    <row r="47" spans="1:12" s="1" customFormat="1">
      <c r="A47" s="24"/>
      <c r="B47" s="26"/>
      <c r="C47" s="23"/>
      <c r="D47" s="14"/>
      <c r="E47" s="14"/>
      <c r="F47" s="14"/>
      <c r="G47" s="14"/>
      <c r="H47" s="14"/>
      <c r="I47" s="5"/>
      <c r="J47" s="25"/>
      <c r="K47" s="5"/>
      <c r="L47" s="5"/>
    </row>
    <row r="48" spans="1:12" s="1" customFormat="1">
      <c r="B48" s="17"/>
      <c r="C48" s="17"/>
      <c r="D48" s="14"/>
      <c r="E48" s="14"/>
      <c r="F48" s="14"/>
      <c r="G48" s="14"/>
      <c r="H48" s="14"/>
      <c r="I48" s="5"/>
      <c r="J48" s="5"/>
      <c r="K48" s="5"/>
      <c r="L48" s="5"/>
    </row>
    <row r="49" spans="2:12" s="1" customFormat="1">
      <c r="B49" s="17"/>
      <c r="C49" s="17"/>
      <c r="D49" s="14"/>
      <c r="E49" s="14"/>
      <c r="F49" s="14"/>
      <c r="G49" s="14"/>
      <c r="H49" s="14"/>
      <c r="I49" s="5"/>
      <c r="J49" s="5"/>
      <c r="K49" s="5"/>
      <c r="L49" s="5"/>
    </row>
    <row r="50" spans="2:12" s="1" customFormat="1">
      <c r="B50" s="17"/>
      <c r="C50" s="17"/>
      <c r="D50" s="14"/>
      <c r="E50" s="14"/>
      <c r="F50" s="14"/>
      <c r="G50" s="14"/>
      <c r="H50" s="14"/>
      <c r="I50" s="5"/>
      <c r="J50" s="5"/>
      <c r="K50" s="5"/>
      <c r="L50" s="5"/>
    </row>
    <row r="51" spans="2:12" s="1" customFormat="1">
      <c r="B51" s="17"/>
      <c r="C51" s="17"/>
      <c r="D51" s="14"/>
      <c r="E51" s="14"/>
      <c r="F51" s="14"/>
      <c r="G51" s="14"/>
      <c r="H51" s="14"/>
      <c r="I51" s="5"/>
      <c r="J51" s="5"/>
      <c r="K51" s="5"/>
      <c r="L51" s="5"/>
    </row>
    <row r="52" spans="2:12" s="1" customFormat="1">
      <c r="B52" s="17"/>
      <c r="C52" s="17"/>
      <c r="D52" s="14"/>
      <c r="E52" s="14"/>
      <c r="F52" s="14"/>
      <c r="G52" s="14"/>
      <c r="H52" s="14"/>
      <c r="I52" s="5"/>
      <c r="J52" s="5"/>
      <c r="K52" s="5"/>
      <c r="L52" s="5"/>
    </row>
    <row r="53" spans="2:12" s="1" customFormat="1">
      <c r="B53" s="17"/>
      <c r="C53" s="17"/>
      <c r="D53" s="14"/>
      <c r="E53" s="14"/>
      <c r="F53" s="14"/>
      <c r="G53" s="14"/>
      <c r="H53" s="14"/>
      <c r="I53" s="5"/>
      <c r="J53" s="5"/>
      <c r="K53" s="5"/>
      <c r="L53" s="5"/>
    </row>
    <row r="54" spans="2:12" s="1" customFormat="1">
      <c r="B54" s="17"/>
      <c r="C54" s="17"/>
      <c r="D54" s="14"/>
      <c r="E54" s="14"/>
      <c r="F54" s="14"/>
      <c r="G54" s="14"/>
      <c r="H54" s="14"/>
      <c r="I54" s="5"/>
      <c r="J54" s="5"/>
      <c r="K54" s="5"/>
      <c r="L54" s="5"/>
    </row>
    <row r="55" spans="2:12" s="1" customFormat="1">
      <c r="B55" s="17"/>
      <c r="C55" s="17"/>
      <c r="D55" s="14"/>
      <c r="E55" s="14"/>
      <c r="F55" s="14"/>
      <c r="G55" s="14"/>
      <c r="H55" s="14"/>
      <c r="I55" s="5"/>
      <c r="J55" s="5"/>
      <c r="K55" s="5"/>
      <c r="L55" s="5"/>
    </row>
    <row r="56" spans="2:12" s="1" customFormat="1">
      <c r="B56" s="17"/>
      <c r="C56" s="17"/>
      <c r="D56" s="14"/>
      <c r="E56" s="14"/>
      <c r="F56" s="14"/>
      <c r="G56" s="14"/>
      <c r="H56" s="14"/>
      <c r="I56" s="5"/>
      <c r="J56" s="5"/>
      <c r="K56" s="5"/>
      <c r="L56" s="5"/>
    </row>
    <row r="57" spans="2:12" s="1" customFormat="1">
      <c r="B57" s="17"/>
      <c r="C57" s="17"/>
      <c r="D57" s="14"/>
      <c r="E57" s="14"/>
      <c r="F57" s="14"/>
      <c r="G57" s="14"/>
      <c r="H57" s="14"/>
      <c r="I57" s="5"/>
      <c r="J57" s="5"/>
      <c r="K57" s="5"/>
      <c r="L57" s="5"/>
    </row>
    <row r="58" spans="2:12" s="1" customFormat="1">
      <c r="B58" s="17"/>
      <c r="C58" s="17"/>
      <c r="D58" s="14"/>
      <c r="E58" s="14"/>
      <c r="F58" s="14"/>
      <c r="G58" s="14"/>
      <c r="H58" s="14"/>
      <c r="I58" s="5"/>
      <c r="J58" s="5"/>
      <c r="K58" s="5"/>
      <c r="L58" s="5"/>
    </row>
    <row r="59" spans="2:12" s="1" customFormat="1">
      <c r="B59" s="17"/>
      <c r="C59" s="17"/>
      <c r="D59" s="14"/>
      <c r="E59" s="14"/>
      <c r="F59" s="14"/>
      <c r="G59" s="14"/>
      <c r="H59" s="14"/>
      <c r="I59" s="5"/>
      <c r="J59" s="5"/>
      <c r="K59" s="5"/>
      <c r="L59" s="5"/>
    </row>
    <row r="60" spans="2:12" s="1" customFormat="1">
      <c r="B60" s="17"/>
      <c r="C60" s="17"/>
      <c r="D60" s="14"/>
      <c r="E60" s="14"/>
      <c r="F60" s="14"/>
      <c r="G60" s="14"/>
      <c r="H60" s="14"/>
      <c r="I60" s="5"/>
      <c r="J60" s="5"/>
      <c r="K60" s="5"/>
      <c r="L60" s="5"/>
    </row>
    <row r="61" spans="2:12" s="1" customFormat="1">
      <c r="B61" s="17"/>
      <c r="C61" s="17"/>
      <c r="D61" s="14"/>
      <c r="E61" s="14"/>
      <c r="F61" s="14"/>
      <c r="G61" s="14"/>
      <c r="H61" s="14"/>
      <c r="I61" s="5"/>
      <c r="J61" s="5"/>
      <c r="K61" s="5"/>
      <c r="L61" s="5"/>
    </row>
    <row r="62" spans="2:12" s="1" customFormat="1">
      <c r="B62" s="17"/>
      <c r="C62" s="17"/>
      <c r="D62" s="14"/>
      <c r="E62" s="14"/>
      <c r="F62" s="14"/>
      <c r="G62" s="14"/>
      <c r="H62" s="14"/>
      <c r="I62" s="5"/>
      <c r="J62" s="5"/>
      <c r="K62" s="5"/>
      <c r="L62" s="5"/>
    </row>
    <row r="63" spans="2:12" s="1" customFormat="1">
      <c r="B63" s="17"/>
      <c r="C63" s="17"/>
      <c r="D63" s="14"/>
      <c r="E63" s="14"/>
      <c r="F63" s="14"/>
      <c r="G63" s="14"/>
      <c r="H63" s="14"/>
      <c r="I63" s="5"/>
      <c r="J63" s="5"/>
      <c r="K63" s="5"/>
      <c r="L63" s="5"/>
    </row>
    <row r="64" spans="2:12" s="1" customFormat="1">
      <c r="B64" s="17"/>
      <c r="C64" s="17"/>
      <c r="D64" s="14"/>
      <c r="E64" s="14"/>
      <c r="F64" s="14"/>
      <c r="G64" s="14"/>
      <c r="H64" s="14"/>
      <c r="I64" s="5"/>
      <c r="J64" s="5"/>
      <c r="K64" s="5"/>
      <c r="L64" s="5"/>
    </row>
    <row r="65" spans="2:12" s="1" customFormat="1">
      <c r="B65" s="17"/>
      <c r="C65" s="17"/>
      <c r="D65" s="14"/>
      <c r="E65" s="14"/>
      <c r="F65" s="14"/>
      <c r="G65" s="14"/>
      <c r="H65" s="14"/>
      <c r="I65" s="5"/>
      <c r="J65" s="5"/>
      <c r="K65" s="5"/>
      <c r="L65" s="5"/>
    </row>
    <row r="66" spans="2:12" s="1" customFormat="1">
      <c r="B66" s="17"/>
      <c r="C66" s="17"/>
      <c r="D66" s="14"/>
      <c r="E66" s="14"/>
      <c r="F66" s="14"/>
      <c r="G66" s="14"/>
      <c r="H66" s="14"/>
      <c r="I66" s="5"/>
      <c r="J66" s="5"/>
      <c r="K66" s="5"/>
      <c r="L66" s="5"/>
    </row>
    <row r="67" spans="2:12" s="1" customFormat="1">
      <c r="B67" s="17"/>
      <c r="C67" s="17"/>
      <c r="D67" s="14"/>
      <c r="E67" s="14"/>
      <c r="F67" s="14"/>
      <c r="G67" s="14"/>
      <c r="H67" s="14"/>
      <c r="I67" s="5"/>
      <c r="J67" s="5"/>
      <c r="K67" s="5"/>
      <c r="L67" s="5"/>
    </row>
    <row r="68" spans="2:12" s="1" customFormat="1">
      <c r="B68" s="17"/>
      <c r="C68" s="17"/>
      <c r="D68" s="14"/>
      <c r="E68" s="14"/>
      <c r="F68" s="14"/>
      <c r="G68" s="14"/>
      <c r="H68" s="14"/>
      <c r="I68" s="5"/>
      <c r="J68" s="5"/>
      <c r="K68" s="5"/>
      <c r="L68" s="5"/>
    </row>
    <row r="69" spans="2:12" s="1" customFormat="1">
      <c r="B69" s="17"/>
      <c r="C69" s="17"/>
      <c r="D69" s="14"/>
      <c r="E69" s="14"/>
      <c r="F69" s="14"/>
      <c r="G69" s="14"/>
      <c r="H69" s="14"/>
      <c r="I69" s="5"/>
      <c r="J69" s="5"/>
      <c r="K69" s="5"/>
      <c r="L69" s="5"/>
    </row>
    <row r="70" spans="2:12" s="1" customFormat="1">
      <c r="B70" s="17"/>
      <c r="C70" s="17"/>
      <c r="D70" s="14"/>
      <c r="E70" s="14"/>
      <c r="F70" s="14"/>
      <c r="G70" s="14"/>
      <c r="H70" s="14"/>
      <c r="I70" s="5"/>
      <c r="J70" s="5"/>
      <c r="K70" s="5"/>
      <c r="L70" s="5"/>
    </row>
    <row r="71" spans="2:12" s="1" customFormat="1">
      <c r="B71" s="17"/>
      <c r="C71" s="17"/>
      <c r="D71" s="14"/>
      <c r="E71" s="14"/>
      <c r="F71" s="14"/>
      <c r="G71" s="14"/>
      <c r="H71" s="14"/>
      <c r="I71" s="5"/>
      <c r="J71" s="5"/>
      <c r="K71" s="5"/>
      <c r="L71" s="5"/>
    </row>
    <row r="72" spans="2:12" s="1" customFormat="1">
      <c r="B72" s="17"/>
      <c r="C72" s="17"/>
      <c r="D72" s="14"/>
      <c r="E72" s="14"/>
      <c r="F72" s="14"/>
      <c r="G72" s="14"/>
      <c r="H72" s="14"/>
      <c r="I72" s="5"/>
      <c r="J72" s="5"/>
      <c r="K72" s="5"/>
      <c r="L72" s="5"/>
    </row>
    <row r="73" spans="2:12" s="1" customFormat="1">
      <c r="B73" s="17"/>
      <c r="C73" s="17"/>
      <c r="D73" s="14"/>
      <c r="E73" s="14"/>
      <c r="F73" s="14"/>
      <c r="G73" s="14"/>
      <c r="H73" s="14"/>
      <c r="I73" s="5"/>
      <c r="J73" s="5"/>
      <c r="K73" s="5"/>
      <c r="L73" s="5"/>
    </row>
    <row r="74" spans="2:12" s="1" customFormat="1">
      <c r="B74" s="17"/>
      <c r="C74" s="17"/>
      <c r="D74" s="14"/>
      <c r="E74" s="14"/>
      <c r="F74" s="14"/>
      <c r="G74" s="14"/>
      <c r="H74" s="14"/>
      <c r="I74" s="5"/>
      <c r="J74" s="5"/>
      <c r="K74" s="5"/>
      <c r="L74" s="5"/>
    </row>
    <row r="75" spans="2:12" s="1" customFormat="1">
      <c r="B75" s="17"/>
      <c r="C75" s="17"/>
      <c r="D75" s="14"/>
      <c r="E75" s="14"/>
      <c r="F75" s="14"/>
      <c r="G75" s="14"/>
      <c r="H75" s="14"/>
      <c r="I75" s="5"/>
      <c r="J75" s="5"/>
      <c r="K75" s="5"/>
      <c r="L75" s="5"/>
    </row>
    <row r="76" spans="2:12" s="1" customFormat="1">
      <c r="B76" s="17"/>
      <c r="C76" s="17"/>
      <c r="D76" s="14"/>
      <c r="E76" s="14"/>
      <c r="F76" s="14"/>
      <c r="G76" s="14"/>
      <c r="H76" s="14"/>
      <c r="I76" s="5"/>
      <c r="J76" s="5"/>
      <c r="K76" s="5"/>
      <c r="L76" s="5"/>
    </row>
    <row r="77" spans="2:12" s="1" customFormat="1">
      <c r="B77" s="17"/>
      <c r="C77" s="17"/>
      <c r="D77" s="14"/>
      <c r="E77" s="14"/>
      <c r="F77" s="14"/>
      <c r="G77" s="14"/>
      <c r="H77" s="14"/>
      <c r="I77" s="5"/>
      <c r="J77" s="5"/>
      <c r="K77" s="5"/>
      <c r="L77" s="5"/>
    </row>
    <row r="78" spans="2:12" s="1" customFormat="1">
      <c r="B78" s="17"/>
      <c r="C78" s="17"/>
      <c r="D78" s="14"/>
      <c r="E78" s="14"/>
      <c r="F78" s="14"/>
      <c r="G78" s="14"/>
      <c r="H78" s="14"/>
      <c r="I78" s="5"/>
      <c r="J78" s="5"/>
      <c r="K78" s="5"/>
      <c r="L78" s="5"/>
    </row>
    <row r="79" spans="2:12" s="1" customFormat="1">
      <c r="B79" s="17"/>
      <c r="C79" s="17"/>
      <c r="D79" s="14"/>
      <c r="E79" s="14"/>
      <c r="F79" s="14"/>
      <c r="G79" s="14"/>
      <c r="H79" s="14"/>
      <c r="I79" s="5"/>
      <c r="J79" s="5"/>
      <c r="K79" s="5"/>
      <c r="L79" s="5"/>
    </row>
    <row r="80" spans="2:12" s="1" customFormat="1">
      <c r="B80" s="17"/>
      <c r="C80" s="17"/>
      <c r="D80" s="14"/>
      <c r="E80" s="14"/>
      <c r="F80" s="14"/>
      <c r="G80" s="14"/>
      <c r="H80" s="14"/>
      <c r="I80" s="5"/>
      <c r="J80" s="5"/>
      <c r="K80" s="5"/>
      <c r="L80" s="5"/>
    </row>
    <row r="81" spans="2:12" s="1" customFormat="1">
      <c r="B81" s="17"/>
      <c r="C81" s="17"/>
      <c r="D81" s="14"/>
      <c r="E81" s="14"/>
      <c r="F81" s="14"/>
      <c r="G81" s="14"/>
      <c r="H81" s="14"/>
      <c r="I81" s="5"/>
      <c r="J81" s="5"/>
      <c r="K81" s="5"/>
      <c r="L81" s="5"/>
    </row>
    <row r="82" spans="2:12" s="1" customFormat="1">
      <c r="B82" s="17"/>
      <c r="C82" s="17"/>
      <c r="D82" s="14"/>
      <c r="E82" s="14"/>
      <c r="F82" s="14"/>
      <c r="G82" s="14"/>
      <c r="H82" s="14"/>
      <c r="I82" s="5"/>
      <c r="J82" s="5"/>
      <c r="K82" s="5"/>
      <c r="L82" s="5"/>
    </row>
    <row r="83" spans="2:12" s="1" customFormat="1">
      <c r="B83" s="17"/>
      <c r="C83" s="17"/>
      <c r="D83" s="14"/>
      <c r="E83" s="14"/>
      <c r="F83" s="14"/>
      <c r="G83" s="14"/>
      <c r="H83" s="14"/>
      <c r="I83" s="5"/>
      <c r="J83" s="5"/>
      <c r="K83" s="5"/>
      <c r="L83" s="5"/>
    </row>
    <row r="84" spans="2:12" s="1" customFormat="1">
      <c r="B84" s="17"/>
      <c r="C84" s="17"/>
      <c r="D84" s="14"/>
      <c r="E84" s="14"/>
      <c r="F84" s="14"/>
      <c r="G84" s="14"/>
      <c r="H84" s="14"/>
      <c r="I84" s="5"/>
      <c r="J84" s="5"/>
      <c r="K84" s="5"/>
      <c r="L84" s="5"/>
    </row>
    <row r="85" spans="2:12" s="1" customFormat="1">
      <c r="B85" s="17"/>
      <c r="C85" s="17"/>
      <c r="D85" s="14"/>
      <c r="E85" s="14"/>
      <c r="F85" s="14"/>
      <c r="G85" s="14"/>
      <c r="H85" s="14"/>
      <c r="I85" s="5"/>
      <c r="J85" s="5"/>
      <c r="K85" s="5"/>
      <c r="L85" s="5"/>
    </row>
    <row r="86" spans="2:12" s="1" customFormat="1">
      <c r="B86" s="17"/>
      <c r="C86" s="17"/>
      <c r="D86" s="14"/>
      <c r="E86" s="14"/>
      <c r="F86" s="14"/>
      <c r="G86" s="14"/>
      <c r="H86" s="14"/>
      <c r="I86" s="5"/>
      <c r="J86" s="5"/>
      <c r="K86" s="5"/>
      <c r="L86" s="5"/>
    </row>
    <row r="87" spans="2:12" s="1" customFormat="1">
      <c r="B87" s="17"/>
      <c r="C87" s="17"/>
      <c r="D87" s="14"/>
      <c r="E87" s="14"/>
      <c r="F87" s="14"/>
      <c r="G87" s="14"/>
      <c r="H87" s="14"/>
      <c r="I87" s="5"/>
      <c r="J87" s="5"/>
      <c r="K87" s="5"/>
      <c r="L87" s="5"/>
    </row>
    <row r="88" spans="2:12" s="1" customFormat="1">
      <c r="B88" s="17"/>
      <c r="C88" s="17"/>
      <c r="D88" s="14"/>
      <c r="E88" s="14"/>
      <c r="F88" s="14"/>
      <c r="G88" s="14"/>
      <c r="H88" s="14"/>
      <c r="I88" s="5"/>
      <c r="J88" s="5"/>
      <c r="K88" s="5"/>
      <c r="L88" s="5"/>
    </row>
    <row r="89" spans="2:12" s="1" customFormat="1">
      <c r="B89" s="17"/>
      <c r="C89" s="17"/>
      <c r="D89" s="14"/>
      <c r="E89" s="14"/>
      <c r="F89" s="14"/>
      <c r="G89" s="14"/>
      <c r="H89" s="14"/>
      <c r="I89" s="5"/>
      <c r="J89" s="5"/>
      <c r="K89" s="5"/>
      <c r="L89" s="5"/>
    </row>
    <row r="90" spans="2:12" s="1" customFormat="1">
      <c r="B90" s="17"/>
      <c r="C90" s="17"/>
      <c r="D90" s="14"/>
      <c r="E90" s="14"/>
      <c r="F90" s="14"/>
      <c r="G90" s="14"/>
      <c r="H90" s="14"/>
      <c r="I90" s="5"/>
      <c r="J90" s="5"/>
      <c r="K90" s="5"/>
      <c r="L90" s="5"/>
    </row>
    <row r="91" spans="2:12" s="1" customFormat="1">
      <c r="B91" s="17"/>
      <c r="C91" s="17"/>
      <c r="D91" s="14"/>
      <c r="E91" s="14"/>
      <c r="F91" s="14"/>
      <c r="G91" s="14"/>
      <c r="H91" s="14"/>
      <c r="I91" s="5"/>
      <c r="J91" s="5"/>
      <c r="K91" s="5"/>
      <c r="L91" s="5"/>
    </row>
    <row r="92" spans="2:12" s="1" customFormat="1">
      <c r="B92" s="17"/>
      <c r="C92" s="17"/>
      <c r="D92" s="14"/>
      <c r="E92" s="14"/>
      <c r="F92" s="14"/>
      <c r="G92" s="14"/>
      <c r="H92" s="14"/>
      <c r="I92" s="5"/>
      <c r="J92" s="5"/>
      <c r="K92" s="5"/>
      <c r="L92" s="5"/>
    </row>
    <row r="93" spans="2:12" s="1" customFormat="1">
      <c r="B93" s="17"/>
      <c r="C93" s="17"/>
      <c r="D93" s="14"/>
      <c r="E93" s="14"/>
      <c r="F93" s="14"/>
      <c r="G93" s="14"/>
      <c r="H93" s="14"/>
      <c r="I93" s="5"/>
      <c r="J93" s="5"/>
      <c r="K93" s="5"/>
      <c r="L93" s="5"/>
    </row>
    <row r="94" spans="2:12" s="1" customFormat="1">
      <c r="B94" s="17"/>
      <c r="C94" s="17"/>
      <c r="D94" s="14"/>
      <c r="E94" s="14"/>
      <c r="F94" s="14"/>
      <c r="G94" s="14"/>
      <c r="H94" s="14"/>
      <c r="I94" s="5"/>
      <c r="J94" s="5"/>
      <c r="K94" s="5"/>
      <c r="L94" s="5"/>
    </row>
    <row r="95" spans="2:12" s="1" customFormat="1">
      <c r="B95" s="17"/>
      <c r="C95" s="17"/>
      <c r="D95" s="14"/>
      <c r="E95" s="14"/>
      <c r="F95" s="14"/>
      <c r="G95" s="14"/>
      <c r="H95" s="14"/>
      <c r="I95" s="5"/>
      <c r="J95" s="5"/>
      <c r="K95" s="5"/>
      <c r="L95" s="5"/>
    </row>
    <row r="96" spans="2:12" s="1" customFormat="1">
      <c r="B96" s="17"/>
      <c r="C96" s="17"/>
      <c r="D96" s="14"/>
      <c r="E96" s="14"/>
      <c r="F96" s="14"/>
      <c r="G96" s="14"/>
      <c r="H96" s="14"/>
      <c r="I96" s="5"/>
      <c r="J96" s="5"/>
      <c r="K96" s="5"/>
      <c r="L96" s="5"/>
    </row>
    <row r="97" spans="2:12" s="1" customFormat="1">
      <c r="B97" s="17"/>
      <c r="C97" s="17"/>
      <c r="D97" s="14"/>
      <c r="E97" s="14"/>
      <c r="F97" s="14"/>
      <c r="G97" s="14"/>
      <c r="H97" s="14"/>
      <c r="I97" s="5"/>
      <c r="J97" s="5"/>
      <c r="K97" s="5"/>
      <c r="L97" s="5"/>
    </row>
    <row r="98" spans="2:12" s="1" customFormat="1">
      <c r="B98" s="17"/>
      <c r="C98" s="17"/>
      <c r="D98" s="14"/>
      <c r="E98" s="14"/>
      <c r="F98" s="14"/>
      <c r="G98" s="14"/>
      <c r="H98" s="14"/>
      <c r="I98" s="5"/>
      <c r="J98" s="5"/>
      <c r="K98" s="5"/>
      <c r="L98" s="5"/>
    </row>
    <row r="99" spans="2:12" s="1" customFormat="1">
      <c r="B99" s="17"/>
      <c r="C99" s="17"/>
      <c r="D99" s="14"/>
      <c r="E99" s="14"/>
      <c r="F99" s="14"/>
      <c r="G99" s="14"/>
      <c r="H99" s="14"/>
      <c r="I99" s="5"/>
      <c r="J99" s="5"/>
      <c r="K99" s="5"/>
      <c r="L99" s="5"/>
    </row>
    <row r="100" spans="2:12" s="1" customFormat="1">
      <c r="B100" s="17"/>
      <c r="C100" s="17"/>
      <c r="D100" s="14"/>
      <c r="E100" s="14"/>
      <c r="F100" s="14"/>
      <c r="G100" s="14"/>
      <c r="H100" s="14"/>
      <c r="I100" s="5"/>
      <c r="J100" s="5"/>
      <c r="K100" s="5"/>
      <c r="L100" s="5"/>
    </row>
    <row r="101" spans="2:12" s="1" customFormat="1">
      <c r="B101" s="17"/>
      <c r="C101" s="17"/>
      <c r="D101" s="14"/>
      <c r="E101" s="14"/>
      <c r="F101" s="14"/>
      <c r="G101" s="14"/>
      <c r="H101" s="14"/>
      <c r="I101" s="5"/>
      <c r="J101" s="5"/>
      <c r="K101" s="5"/>
      <c r="L101" s="5"/>
    </row>
    <row r="102" spans="2:12" s="1" customFormat="1">
      <c r="B102" s="17"/>
      <c r="C102" s="17"/>
      <c r="D102" s="14"/>
      <c r="E102" s="14"/>
      <c r="F102" s="14"/>
      <c r="G102" s="14"/>
      <c r="H102" s="14"/>
      <c r="I102" s="5"/>
      <c r="J102" s="5"/>
      <c r="K102" s="5"/>
      <c r="L102" s="5"/>
    </row>
    <row r="103" spans="2:12" s="1" customFormat="1">
      <c r="B103" s="17"/>
      <c r="C103" s="17"/>
      <c r="D103" s="14"/>
      <c r="E103" s="14"/>
      <c r="F103" s="14"/>
      <c r="G103" s="14"/>
      <c r="H103" s="14"/>
      <c r="I103" s="5"/>
      <c r="J103" s="5"/>
      <c r="K103" s="5"/>
      <c r="L103" s="5"/>
    </row>
    <row r="104" spans="2:12" s="1" customFormat="1">
      <c r="B104" s="17"/>
      <c r="C104" s="17"/>
      <c r="D104" s="14"/>
      <c r="E104" s="14"/>
      <c r="F104" s="14"/>
      <c r="G104" s="14"/>
      <c r="H104" s="14"/>
      <c r="I104" s="5"/>
      <c r="J104" s="5"/>
      <c r="K104" s="5"/>
      <c r="L104" s="5"/>
    </row>
    <row r="105" spans="2:12" s="1" customFormat="1">
      <c r="B105" s="17"/>
      <c r="C105" s="17"/>
      <c r="D105" s="14"/>
      <c r="E105" s="14"/>
      <c r="F105" s="14"/>
      <c r="G105" s="14"/>
      <c r="H105" s="14"/>
      <c r="I105" s="5"/>
      <c r="J105" s="5"/>
      <c r="K105" s="5"/>
      <c r="L105" s="5"/>
    </row>
    <row r="106" spans="2:12" s="1" customFormat="1">
      <c r="B106" s="17"/>
      <c r="C106" s="17"/>
      <c r="D106" s="14"/>
      <c r="E106" s="14"/>
      <c r="F106" s="14"/>
      <c r="G106" s="14"/>
      <c r="H106" s="14"/>
      <c r="I106" s="5"/>
      <c r="J106" s="5"/>
      <c r="K106" s="5"/>
      <c r="L106" s="5"/>
    </row>
    <row r="107" spans="2:12" s="1" customFormat="1">
      <c r="B107" s="17"/>
      <c r="C107" s="17"/>
      <c r="D107" s="14"/>
      <c r="E107" s="14"/>
      <c r="F107" s="14"/>
      <c r="G107" s="14"/>
      <c r="H107" s="14"/>
      <c r="I107" s="5"/>
      <c r="J107" s="5"/>
      <c r="K107" s="5"/>
      <c r="L107" s="5"/>
    </row>
    <row r="108" spans="2:12" s="1" customFormat="1">
      <c r="B108" s="17"/>
      <c r="C108" s="17"/>
      <c r="D108" s="14"/>
      <c r="E108" s="14"/>
      <c r="F108" s="14"/>
      <c r="G108" s="14"/>
      <c r="H108" s="14"/>
      <c r="I108" s="5"/>
      <c r="J108" s="5"/>
      <c r="K108" s="5"/>
      <c r="L108" s="5"/>
    </row>
    <row r="109" spans="2:12" s="1" customFormat="1">
      <c r="B109" s="17"/>
      <c r="C109" s="17"/>
      <c r="D109" s="14"/>
      <c r="E109" s="14"/>
      <c r="F109" s="14"/>
      <c r="G109" s="14"/>
      <c r="H109" s="14"/>
      <c r="I109" s="5"/>
      <c r="J109" s="5"/>
      <c r="K109" s="5"/>
      <c r="L109" s="5"/>
    </row>
    <row r="110" spans="2:12" s="1" customFormat="1">
      <c r="B110" s="17"/>
      <c r="C110" s="17"/>
      <c r="D110" s="14"/>
      <c r="E110" s="14"/>
      <c r="F110" s="14"/>
      <c r="G110" s="14"/>
      <c r="H110" s="14"/>
      <c r="I110" s="5"/>
      <c r="J110" s="5"/>
      <c r="K110" s="5"/>
      <c r="L110" s="5"/>
    </row>
    <row r="111" spans="2:12" s="1" customFormat="1">
      <c r="B111" s="17"/>
      <c r="C111" s="17"/>
      <c r="D111" s="14"/>
      <c r="E111" s="14"/>
      <c r="F111" s="14"/>
      <c r="G111" s="14"/>
      <c r="H111" s="14"/>
      <c r="I111" s="5"/>
      <c r="J111" s="5"/>
      <c r="K111" s="5"/>
      <c r="L111" s="5"/>
    </row>
    <row r="112" spans="2:12" s="1" customFormat="1">
      <c r="B112" s="17"/>
      <c r="C112" s="17"/>
      <c r="D112" s="14"/>
      <c r="E112" s="14"/>
      <c r="F112" s="14"/>
      <c r="G112" s="14"/>
      <c r="H112" s="14"/>
      <c r="I112" s="5"/>
      <c r="J112" s="5"/>
      <c r="K112" s="5"/>
      <c r="L112" s="5"/>
    </row>
    <row r="113" spans="2:14" s="1" customFormat="1">
      <c r="B113" s="17"/>
      <c r="C113" s="17"/>
      <c r="D113" s="14"/>
      <c r="E113" s="14"/>
      <c r="F113" s="14"/>
      <c r="G113" s="14"/>
      <c r="H113" s="14"/>
      <c r="I113" s="5"/>
      <c r="J113" s="5"/>
      <c r="K113" s="5"/>
      <c r="L113" s="5"/>
      <c r="N113" s="21"/>
    </row>
    <row r="114" spans="2:14" s="1" customFormat="1">
      <c r="B114" s="17"/>
      <c r="C114" s="17"/>
      <c r="D114" s="14"/>
      <c r="E114" s="14"/>
      <c r="F114" s="14"/>
      <c r="G114" s="14"/>
      <c r="H114" s="14"/>
      <c r="I114" s="5"/>
      <c r="J114" s="5"/>
      <c r="K114" s="5"/>
      <c r="L114" s="5"/>
    </row>
    <row r="115" spans="2:14" s="1" customFormat="1">
      <c r="B115" s="17"/>
      <c r="C115" s="17"/>
      <c r="D115" s="14"/>
      <c r="E115" s="14"/>
      <c r="F115" s="14"/>
      <c r="G115" s="14"/>
      <c r="H115" s="14"/>
      <c r="I115" s="5"/>
      <c r="J115" s="5"/>
      <c r="K115" s="5"/>
      <c r="L115" s="5"/>
    </row>
    <row r="116" spans="2:14" s="1" customFormat="1">
      <c r="B116" s="17"/>
      <c r="C116" s="17"/>
      <c r="D116" s="14"/>
      <c r="E116" s="14"/>
      <c r="F116" s="14"/>
      <c r="G116" s="14"/>
      <c r="H116" s="14"/>
      <c r="I116" s="5"/>
      <c r="J116" s="5"/>
      <c r="K116" s="5"/>
      <c r="L116" s="5"/>
    </row>
    <row r="117" spans="2:14" s="1" customFormat="1">
      <c r="B117" s="17"/>
      <c r="C117" s="17"/>
      <c r="D117" s="14"/>
      <c r="E117" s="14"/>
      <c r="F117" s="14"/>
      <c r="G117" s="14"/>
      <c r="H117" s="14"/>
      <c r="I117" s="5"/>
      <c r="J117" s="5"/>
      <c r="K117" s="5"/>
      <c r="L117" s="5"/>
    </row>
    <row r="118" spans="2:14" s="1" customFormat="1">
      <c r="B118" s="17"/>
      <c r="C118" s="17"/>
      <c r="D118" s="14"/>
      <c r="E118" s="14"/>
      <c r="F118" s="14"/>
      <c r="G118" s="14"/>
      <c r="H118" s="14"/>
      <c r="I118" s="5"/>
      <c r="J118" s="5"/>
      <c r="K118" s="5"/>
      <c r="L118" s="5"/>
    </row>
    <row r="119" spans="2:14" s="1" customFormat="1">
      <c r="B119" s="17"/>
      <c r="C119" s="17"/>
      <c r="D119" s="14"/>
      <c r="E119" s="14"/>
      <c r="F119" s="14"/>
      <c r="G119" s="14"/>
      <c r="H119" s="14"/>
      <c r="I119" s="5"/>
      <c r="J119" s="5"/>
      <c r="K119" s="5"/>
      <c r="L119" s="5"/>
    </row>
    <row r="120" spans="2:14" s="1" customFormat="1">
      <c r="B120" s="17"/>
      <c r="C120" s="17"/>
      <c r="D120" s="14"/>
      <c r="E120" s="14"/>
      <c r="F120" s="14"/>
      <c r="G120" s="14"/>
      <c r="H120" s="14"/>
      <c r="I120" s="5"/>
      <c r="J120" s="5"/>
      <c r="K120" s="5"/>
      <c r="L120" s="5"/>
    </row>
    <row r="121" spans="2:14" s="1" customFormat="1">
      <c r="B121" s="17"/>
      <c r="C121" s="17"/>
      <c r="D121" s="14"/>
      <c r="E121" s="14"/>
      <c r="F121" s="14"/>
      <c r="G121" s="14"/>
      <c r="H121" s="14"/>
      <c r="I121" s="5"/>
      <c r="J121" s="5"/>
      <c r="K121" s="5"/>
      <c r="L121" s="5"/>
    </row>
    <row r="122" spans="2:14" s="1" customFormat="1">
      <c r="B122" s="17"/>
      <c r="C122" s="17"/>
      <c r="D122" s="14"/>
      <c r="E122" s="14"/>
      <c r="F122" s="14"/>
      <c r="G122" s="14"/>
      <c r="H122" s="14"/>
      <c r="I122" s="5"/>
      <c r="J122" s="5"/>
      <c r="K122" s="5"/>
      <c r="L122" s="5"/>
    </row>
    <row r="123" spans="2:14" s="1" customFormat="1">
      <c r="B123" s="17"/>
      <c r="C123" s="17"/>
      <c r="D123" s="14"/>
      <c r="E123" s="14"/>
      <c r="F123" s="14"/>
      <c r="G123" s="14"/>
      <c r="H123" s="14"/>
      <c r="I123" s="5"/>
      <c r="J123" s="5"/>
      <c r="K123" s="5"/>
      <c r="L123" s="5"/>
    </row>
    <row r="124" spans="2:14" s="1" customFormat="1">
      <c r="B124" s="17"/>
      <c r="C124" s="17"/>
      <c r="D124" s="14"/>
      <c r="E124" s="14"/>
      <c r="F124" s="14"/>
      <c r="G124" s="14"/>
      <c r="H124" s="14"/>
      <c r="I124" s="5"/>
      <c r="J124" s="5"/>
      <c r="K124" s="5"/>
      <c r="L124" s="5"/>
    </row>
    <row r="125" spans="2:14" s="1" customFormat="1">
      <c r="B125" s="17"/>
      <c r="C125" s="17"/>
      <c r="D125" s="14"/>
      <c r="E125" s="14"/>
      <c r="F125" s="14"/>
      <c r="G125" s="14"/>
      <c r="H125" s="14"/>
      <c r="I125" s="5"/>
      <c r="J125" s="5"/>
      <c r="K125" s="5"/>
      <c r="L125" s="5"/>
    </row>
    <row r="126" spans="2:14" s="1" customFormat="1">
      <c r="B126" s="17"/>
      <c r="C126" s="17"/>
      <c r="D126" s="14"/>
      <c r="E126" s="14"/>
      <c r="F126" s="14"/>
      <c r="G126" s="14"/>
      <c r="H126" s="14"/>
      <c r="I126" s="5"/>
      <c r="J126" s="5"/>
      <c r="K126" s="5"/>
      <c r="L126" s="5"/>
    </row>
    <row r="127" spans="2:14" s="1" customFormat="1">
      <c r="B127" s="17"/>
      <c r="C127" s="17"/>
      <c r="D127" s="14"/>
      <c r="E127" s="14"/>
      <c r="F127" s="14"/>
      <c r="G127" s="14"/>
      <c r="H127" s="14"/>
      <c r="I127" s="5"/>
      <c r="J127" s="5"/>
      <c r="K127" s="5"/>
      <c r="L127" s="5"/>
    </row>
    <row r="128" spans="2:14" s="1" customFormat="1">
      <c r="B128" s="17"/>
      <c r="C128" s="17"/>
      <c r="D128" s="14"/>
      <c r="E128" s="14"/>
      <c r="F128" s="14"/>
      <c r="G128" s="14"/>
      <c r="H128" s="14"/>
      <c r="I128" s="5"/>
      <c r="J128" s="5"/>
      <c r="K128" s="5"/>
      <c r="L128" s="5"/>
    </row>
    <row r="129" spans="2:12" s="1" customFormat="1">
      <c r="B129" s="17"/>
      <c r="C129" s="17"/>
      <c r="D129" s="14"/>
      <c r="E129" s="14"/>
      <c r="F129" s="14"/>
      <c r="G129" s="14"/>
      <c r="H129" s="14"/>
      <c r="I129" s="5"/>
      <c r="J129" s="5"/>
      <c r="K129" s="5"/>
      <c r="L129" s="5"/>
    </row>
    <row r="130" spans="2:12" s="1" customFormat="1">
      <c r="B130" s="17"/>
      <c r="C130" s="17"/>
      <c r="D130" s="14"/>
      <c r="E130" s="14"/>
      <c r="F130" s="14"/>
      <c r="G130" s="14"/>
      <c r="H130" s="14"/>
      <c r="I130" s="5"/>
      <c r="J130" s="5"/>
      <c r="K130" s="5"/>
      <c r="L130" s="5"/>
    </row>
    <row r="131" spans="2:12" s="1" customFormat="1">
      <c r="B131" s="17"/>
      <c r="C131" s="17"/>
      <c r="D131" s="14"/>
      <c r="E131" s="14"/>
      <c r="F131" s="14"/>
      <c r="G131" s="14"/>
      <c r="H131" s="14"/>
      <c r="I131" s="5"/>
      <c r="J131" s="5"/>
      <c r="K131" s="5"/>
      <c r="L131" s="5"/>
    </row>
    <row r="132" spans="2:12" s="1" customFormat="1">
      <c r="B132" s="17"/>
      <c r="C132" s="17"/>
      <c r="D132" s="14"/>
      <c r="E132" s="14"/>
      <c r="F132" s="14"/>
      <c r="G132" s="14"/>
      <c r="H132" s="14"/>
      <c r="I132" s="5"/>
      <c r="J132" s="5"/>
      <c r="K132" s="5"/>
      <c r="L132" s="5"/>
    </row>
    <row r="133" spans="2:12" s="1" customFormat="1">
      <c r="B133" s="17"/>
      <c r="C133" s="17"/>
      <c r="D133" s="14"/>
      <c r="E133" s="14"/>
      <c r="F133" s="14"/>
      <c r="G133" s="14"/>
      <c r="H133" s="14"/>
      <c r="I133" s="5"/>
      <c r="J133" s="5"/>
      <c r="K133" s="5"/>
      <c r="L133" s="5"/>
    </row>
    <row r="134" spans="2:12" s="1" customFormat="1">
      <c r="B134" s="17"/>
      <c r="C134" s="17"/>
      <c r="D134" s="14"/>
      <c r="E134" s="14"/>
      <c r="F134" s="14"/>
      <c r="G134" s="14"/>
      <c r="H134" s="14"/>
      <c r="I134" s="5"/>
      <c r="J134" s="5"/>
      <c r="K134" s="5"/>
      <c r="L134" s="5"/>
    </row>
    <row r="135" spans="2:12" s="1" customFormat="1">
      <c r="B135" s="17"/>
      <c r="C135" s="17"/>
      <c r="D135" s="14"/>
      <c r="E135" s="14"/>
      <c r="F135" s="14"/>
      <c r="G135" s="14"/>
      <c r="H135" s="14"/>
      <c r="I135" s="5"/>
      <c r="J135" s="5"/>
      <c r="K135" s="5"/>
      <c r="L135" s="5"/>
    </row>
    <row r="136" spans="2:12" s="1" customFormat="1">
      <c r="B136" s="17"/>
      <c r="C136" s="17"/>
      <c r="D136" s="14"/>
      <c r="E136" s="14"/>
      <c r="F136" s="14"/>
      <c r="G136" s="14"/>
      <c r="H136" s="14"/>
      <c r="I136" s="5"/>
      <c r="J136" s="5"/>
      <c r="K136" s="5"/>
      <c r="L136" s="5"/>
    </row>
    <row r="137" spans="2:12" s="1" customFormat="1">
      <c r="B137" s="17"/>
      <c r="C137" s="17"/>
      <c r="D137" s="14"/>
      <c r="E137" s="14"/>
      <c r="F137" s="14"/>
      <c r="G137" s="14"/>
      <c r="H137" s="14"/>
      <c r="I137" s="5"/>
      <c r="J137" s="5"/>
      <c r="K137" s="5"/>
      <c r="L137" s="5"/>
    </row>
    <row r="138" spans="2:12" s="1" customFormat="1">
      <c r="B138" s="17"/>
      <c r="C138" s="17"/>
      <c r="D138" s="14"/>
      <c r="E138" s="14"/>
      <c r="F138" s="14"/>
      <c r="G138" s="14"/>
      <c r="H138" s="14"/>
      <c r="I138" s="5"/>
      <c r="J138" s="5"/>
      <c r="K138" s="5"/>
      <c r="L138" s="5"/>
    </row>
    <row r="139" spans="2:12" s="1" customFormat="1">
      <c r="B139" s="17"/>
      <c r="C139" s="17"/>
      <c r="D139" s="14"/>
      <c r="E139" s="14"/>
      <c r="F139" s="14"/>
      <c r="G139" s="14"/>
      <c r="H139" s="14"/>
      <c r="I139" s="5"/>
      <c r="J139" s="5"/>
      <c r="K139" s="5"/>
      <c r="L139" s="5"/>
    </row>
    <row r="140" spans="2:12" s="1" customFormat="1">
      <c r="B140" s="17"/>
      <c r="C140" s="17"/>
      <c r="D140" s="14"/>
      <c r="E140" s="14"/>
      <c r="F140" s="14"/>
      <c r="G140" s="14"/>
      <c r="H140" s="14"/>
      <c r="I140" s="5"/>
      <c r="J140" s="5"/>
      <c r="K140" s="5"/>
      <c r="L140" s="5"/>
    </row>
    <row r="141" spans="2:12" s="1" customFormat="1">
      <c r="B141" s="17"/>
      <c r="C141" s="17"/>
      <c r="D141" s="14"/>
      <c r="E141" s="14"/>
      <c r="F141" s="14"/>
      <c r="G141" s="14"/>
      <c r="H141" s="14"/>
      <c r="I141" s="5"/>
      <c r="J141" s="5"/>
      <c r="K141" s="5"/>
      <c r="L141" s="5"/>
    </row>
    <row r="142" spans="2:12" s="1" customFormat="1">
      <c r="B142" s="17"/>
      <c r="C142" s="17"/>
      <c r="D142" s="14"/>
      <c r="E142" s="14"/>
      <c r="F142" s="14"/>
      <c r="G142" s="14"/>
      <c r="H142" s="14"/>
      <c r="I142" s="5"/>
      <c r="J142" s="5"/>
      <c r="K142" s="5"/>
      <c r="L142" s="5"/>
    </row>
    <row r="143" spans="2:12" s="1" customFormat="1">
      <c r="B143" s="17"/>
      <c r="C143" s="17"/>
      <c r="D143" s="14"/>
      <c r="E143" s="14"/>
      <c r="F143" s="14"/>
      <c r="G143" s="14"/>
      <c r="H143" s="14"/>
      <c r="I143" s="5"/>
      <c r="J143" s="5"/>
      <c r="K143" s="5"/>
      <c r="L143" s="5"/>
    </row>
    <row r="144" spans="2:12" s="1" customFormat="1">
      <c r="B144" s="17"/>
      <c r="C144" s="17"/>
      <c r="D144" s="14"/>
      <c r="E144" s="14"/>
      <c r="F144" s="14"/>
      <c r="G144" s="14"/>
      <c r="H144" s="14"/>
      <c r="I144" s="5"/>
      <c r="J144" s="5"/>
      <c r="K144" s="5"/>
      <c r="L144" s="5"/>
    </row>
    <row r="145" spans="2:12" s="1" customFormat="1">
      <c r="B145" s="17"/>
      <c r="C145" s="17"/>
      <c r="D145" s="14"/>
      <c r="E145" s="14"/>
      <c r="F145" s="14"/>
      <c r="G145" s="14"/>
      <c r="H145" s="14"/>
      <c r="I145" s="5"/>
      <c r="J145" s="5"/>
      <c r="K145" s="5"/>
      <c r="L145" s="5"/>
    </row>
    <row r="146" spans="2:12" s="1" customFormat="1">
      <c r="B146" s="17"/>
      <c r="C146" s="17"/>
      <c r="D146" s="14"/>
      <c r="E146" s="14"/>
      <c r="F146" s="14"/>
      <c r="G146" s="14"/>
      <c r="H146" s="14"/>
      <c r="I146" s="5"/>
      <c r="J146" s="5"/>
      <c r="K146" s="5"/>
      <c r="L146" s="5"/>
    </row>
    <row r="147" spans="2:12" s="1" customFormat="1">
      <c r="B147" s="17"/>
      <c r="C147" s="17"/>
      <c r="D147" s="14"/>
      <c r="E147" s="14"/>
      <c r="F147" s="14"/>
      <c r="G147" s="14"/>
      <c r="H147" s="14"/>
      <c r="I147" s="5"/>
      <c r="J147" s="5"/>
      <c r="K147" s="5"/>
      <c r="L147" s="5"/>
    </row>
    <row r="148" spans="2:12" s="1" customFormat="1">
      <c r="B148" s="17"/>
      <c r="C148" s="17"/>
      <c r="D148" s="14"/>
      <c r="E148" s="14"/>
      <c r="F148" s="14"/>
      <c r="G148" s="14"/>
      <c r="H148" s="14"/>
      <c r="I148" s="5"/>
      <c r="J148" s="5"/>
      <c r="K148" s="5"/>
      <c r="L148" s="5"/>
    </row>
    <row r="149" spans="2:12" s="1" customFormat="1">
      <c r="B149" s="17"/>
      <c r="C149" s="17"/>
      <c r="D149" s="14"/>
      <c r="E149" s="14"/>
      <c r="F149" s="14"/>
      <c r="G149" s="14"/>
      <c r="H149" s="14"/>
      <c r="I149" s="5"/>
      <c r="J149" s="5"/>
      <c r="K149" s="5"/>
      <c r="L149" s="5"/>
    </row>
    <row r="150" spans="2:12" s="1" customFormat="1">
      <c r="B150" s="17"/>
      <c r="C150" s="17"/>
      <c r="D150" s="14"/>
      <c r="E150" s="14"/>
      <c r="F150" s="14"/>
      <c r="G150" s="14"/>
      <c r="H150" s="14"/>
      <c r="I150" s="5"/>
      <c r="J150" s="5"/>
      <c r="K150" s="5"/>
      <c r="L150" s="5"/>
    </row>
    <row r="151" spans="2:12" s="1" customFormat="1">
      <c r="B151" s="17"/>
      <c r="C151" s="17"/>
      <c r="D151" s="14"/>
      <c r="E151" s="14"/>
      <c r="F151" s="14"/>
      <c r="G151" s="14"/>
      <c r="H151" s="14"/>
      <c r="I151" s="5"/>
      <c r="J151" s="5"/>
      <c r="K151" s="5"/>
      <c r="L151" s="5"/>
    </row>
    <row r="152" spans="2:12" s="1" customFormat="1">
      <c r="B152" s="17"/>
      <c r="C152" s="17"/>
      <c r="D152" s="14"/>
      <c r="E152" s="14"/>
      <c r="F152" s="14"/>
      <c r="G152" s="14"/>
      <c r="H152" s="14"/>
      <c r="I152" s="5"/>
      <c r="J152" s="5"/>
      <c r="K152" s="5"/>
      <c r="L152" s="5"/>
    </row>
    <row r="153" spans="2:12" s="1" customFormat="1">
      <c r="B153" s="17"/>
      <c r="C153" s="17"/>
      <c r="D153" s="14"/>
      <c r="E153" s="14"/>
      <c r="F153" s="14"/>
      <c r="G153" s="14"/>
      <c r="H153" s="14"/>
      <c r="I153" s="5"/>
      <c r="J153" s="5"/>
      <c r="K153" s="5"/>
      <c r="L153" s="5"/>
    </row>
    <row r="154" spans="2:12" s="1" customFormat="1">
      <c r="B154" s="17"/>
      <c r="C154" s="17"/>
      <c r="D154" s="14"/>
      <c r="E154" s="14"/>
      <c r="F154" s="14"/>
      <c r="G154" s="14"/>
      <c r="H154" s="14"/>
      <c r="I154" s="5"/>
      <c r="J154" s="5"/>
      <c r="K154" s="5"/>
      <c r="L154" s="5"/>
    </row>
    <row r="155" spans="2:12" s="14" customFormat="1">
      <c r="B155" s="17"/>
      <c r="C155" s="17"/>
      <c r="I155" s="5"/>
      <c r="J155" s="5"/>
      <c r="K155" s="5"/>
      <c r="L155" s="5"/>
    </row>
    <row r="156" spans="2:12" s="14" customFormat="1">
      <c r="B156" s="17"/>
      <c r="C156" s="17"/>
      <c r="I156" s="5"/>
      <c r="J156" s="5"/>
      <c r="K156" s="5"/>
      <c r="L156" s="5"/>
    </row>
    <row r="157" spans="2:12" s="14" customFormat="1">
      <c r="B157" s="17"/>
      <c r="C157" s="17"/>
      <c r="I157" s="5"/>
      <c r="J157" s="5"/>
      <c r="K157" s="5"/>
      <c r="L157" s="5"/>
    </row>
    <row r="158" spans="2:12" s="14" customFormat="1">
      <c r="B158" s="17"/>
      <c r="C158" s="17"/>
      <c r="I158" s="5"/>
      <c r="J158" s="5"/>
      <c r="K158" s="5"/>
      <c r="L158" s="5"/>
    </row>
    <row r="159" spans="2:12" s="14" customFormat="1">
      <c r="B159" s="17"/>
      <c r="C159" s="17"/>
      <c r="I159" s="5"/>
      <c r="J159" s="5"/>
      <c r="K159" s="5"/>
      <c r="L159" s="5"/>
    </row>
    <row r="160" spans="2:12" s="14" customFormat="1">
      <c r="B160" s="17"/>
      <c r="C160" s="17"/>
      <c r="I160" s="5"/>
      <c r="J160" s="5"/>
      <c r="K160" s="5"/>
      <c r="L160" s="5"/>
    </row>
    <row r="161" spans="2:12" s="14" customFormat="1">
      <c r="B161" s="17"/>
      <c r="C161" s="17"/>
      <c r="I161" s="5"/>
      <c r="J161" s="5"/>
      <c r="K161" s="5"/>
      <c r="L161" s="5"/>
    </row>
    <row r="162" spans="2:12" s="14" customFormat="1">
      <c r="B162" s="17"/>
      <c r="C162" s="17"/>
      <c r="I162" s="5"/>
      <c r="J162" s="5"/>
      <c r="K162" s="5"/>
      <c r="L162" s="5"/>
    </row>
    <row r="163" spans="2:12" s="14" customFormat="1">
      <c r="B163" s="17"/>
      <c r="C163" s="17"/>
      <c r="I163" s="5"/>
      <c r="J163" s="5"/>
      <c r="K163" s="5"/>
      <c r="L163" s="5"/>
    </row>
    <row r="164" spans="2:12" s="14" customFormat="1">
      <c r="B164" s="17"/>
      <c r="C164" s="17"/>
      <c r="I164" s="5"/>
      <c r="J164" s="5"/>
      <c r="K164" s="5"/>
      <c r="L164" s="5"/>
    </row>
    <row r="165" spans="2:12" s="14" customFormat="1">
      <c r="B165" s="17"/>
      <c r="C165" s="17"/>
      <c r="I165" s="5"/>
      <c r="J165" s="5"/>
      <c r="K165" s="5"/>
      <c r="L165" s="5"/>
    </row>
    <row r="166" spans="2:12" s="14" customFormat="1">
      <c r="B166" s="17"/>
      <c r="C166" s="17"/>
      <c r="I166" s="5"/>
      <c r="J166" s="5"/>
      <c r="K166" s="5"/>
      <c r="L166" s="5"/>
    </row>
    <row r="167" spans="2:12" s="14" customFormat="1">
      <c r="B167" s="17"/>
      <c r="C167" s="17"/>
      <c r="I167" s="5"/>
      <c r="J167" s="5"/>
      <c r="K167" s="5"/>
      <c r="L167" s="5"/>
    </row>
    <row r="168" spans="2:12" s="1" customFormat="1">
      <c r="B168" s="17"/>
      <c r="C168" s="17"/>
      <c r="D168" s="14"/>
      <c r="E168" s="14"/>
      <c r="F168" s="14"/>
      <c r="G168" s="14"/>
      <c r="H168" s="14"/>
      <c r="I168" s="5"/>
      <c r="J168" s="5"/>
      <c r="K168" s="5"/>
      <c r="L168" s="5"/>
    </row>
    <row r="169" spans="2:12" s="1" customFormat="1">
      <c r="B169" s="17"/>
      <c r="C169" s="17"/>
      <c r="D169" s="14"/>
      <c r="E169" s="14"/>
      <c r="F169" s="14"/>
      <c r="G169" s="14"/>
      <c r="H169" s="14"/>
      <c r="I169" s="5"/>
      <c r="J169" s="5"/>
      <c r="K169" s="5"/>
      <c r="L169" s="5"/>
    </row>
    <row r="170" spans="2:12" s="1" customFormat="1">
      <c r="B170" s="17"/>
      <c r="C170" s="17"/>
      <c r="D170" s="14"/>
      <c r="E170" s="14"/>
      <c r="F170" s="14"/>
      <c r="G170" s="14"/>
      <c r="H170" s="14"/>
      <c r="I170" s="5"/>
      <c r="J170" s="5"/>
      <c r="K170" s="5"/>
      <c r="L170" s="5"/>
    </row>
    <row r="171" spans="2:12" s="1" customFormat="1">
      <c r="B171" s="17"/>
      <c r="C171" s="17"/>
      <c r="D171" s="14"/>
      <c r="E171" s="14"/>
      <c r="F171" s="14"/>
      <c r="G171" s="14"/>
      <c r="H171" s="14"/>
      <c r="I171" s="5"/>
      <c r="J171" s="5"/>
      <c r="K171" s="5"/>
      <c r="L171" s="5"/>
    </row>
    <row r="172" spans="2:12" s="1" customFormat="1">
      <c r="B172" s="17"/>
      <c r="C172" s="17"/>
      <c r="D172" s="14"/>
      <c r="E172" s="14"/>
      <c r="F172" s="14"/>
      <c r="G172" s="14"/>
      <c r="H172" s="14"/>
      <c r="I172" s="5"/>
      <c r="J172" s="5"/>
      <c r="K172" s="5"/>
      <c r="L172" s="5"/>
    </row>
    <row r="173" spans="2:12" s="1" customFormat="1">
      <c r="B173" s="17"/>
      <c r="C173" s="17"/>
      <c r="D173" s="14"/>
      <c r="E173" s="14"/>
      <c r="F173" s="14"/>
      <c r="G173" s="14"/>
      <c r="H173" s="14"/>
      <c r="I173" s="5"/>
      <c r="J173" s="5"/>
      <c r="K173" s="5"/>
      <c r="L173" s="5"/>
    </row>
    <row r="174" spans="2:12" s="1" customFormat="1">
      <c r="B174" s="17"/>
      <c r="C174" s="17"/>
      <c r="D174" s="14"/>
      <c r="E174" s="14"/>
      <c r="F174" s="14"/>
      <c r="G174" s="14"/>
      <c r="H174" s="14"/>
      <c r="I174" s="5"/>
      <c r="J174" s="5"/>
      <c r="K174" s="5"/>
      <c r="L174" s="5"/>
    </row>
    <row r="175" spans="2:12" s="1" customFormat="1">
      <c r="B175" s="17"/>
      <c r="C175" s="17"/>
      <c r="D175" s="14"/>
      <c r="E175" s="14"/>
      <c r="F175" s="14"/>
      <c r="G175" s="14"/>
      <c r="H175" s="14"/>
      <c r="I175" s="5"/>
      <c r="J175" s="5"/>
      <c r="K175" s="5"/>
      <c r="L175" s="5"/>
    </row>
    <row r="176" spans="2:12" s="1" customFormat="1">
      <c r="B176" s="17"/>
      <c r="C176" s="17"/>
      <c r="D176" s="14"/>
      <c r="E176" s="14"/>
      <c r="F176" s="14"/>
      <c r="G176" s="14"/>
      <c r="H176" s="14"/>
      <c r="I176" s="5"/>
      <c r="J176" s="5"/>
      <c r="K176" s="5"/>
      <c r="L176" s="5"/>
    </row>
    <row r="177" spans="2:12" s="1" customFormat="1">
      <c r="B177" s="17"/>
      <c r="C177" s="17"/>
      <c r="D177" s="14"/>
      <c r="E177" s="14"/>
      <c r="F177" s="14"/>
      <c r="G177" s="14"/>
      <c r="H177" s="14"/>
      <c r="I177" s="5"/>
      <c r="J177" s="5"/>
      <c r="K177" s="5"/>
      <c r="L177" s="5"/>
    </row>
    <row r="178" spans="2:12" s="1" customFormat="1">
      <c r="B178" s="17"/>
      <c r="C178" s="17"/>
      <c r="D178" s="14"/>
      <c r="E178" s="14"/>
      <c r="F178" s="14"/>
      <c r="G178" s="14"/>
      <c r="H178" s="14"/>
      <c r="I178" s="5"/>
      <c r="J178" s="5"/>
      <c r="K178" s="5"/>
      <c r="L178" s="5"/>
    </row>
    <row r="179" spans="2:12" s="1" customFormat="1">
      <c r="B179" s="17"/>
      <c r="C179" s="17"/>
      <c r="D179" s="14"/>
      <c r="E179" s="14"/>
      <c r="F179" s="14"/>
      <c r="G179" s="14"/>
      <c r="H179" s="14"/>
      <c r="I179" s="5"/>
      <c r="J179" s="5"/>
      <c r="K179" s="5"/>
      <c r="L179" s="5"/>
    </row>
    <row r="193" spans="2:12" s="1" customFormat="1" ht="21">
      <c r="B193" s="13"/>
      <c r="C193" s="13"/>
      <c r="D193" s="14"/>
      <c r="E193" s="14"/>
      <c r="F193" s="14"/>
      <c r="G193" s="14"/>
      <c r="H193" s="14"/>
      <c r="I193" s="5"/>
      <c r="J193" s="5"/>
      <c r="K193" s="5"/>
      <c r="L193" s="5"/>
    </row>
    <row r="194" spans="2:12" s="1" customFormat="1">
      <c r="B194" s="15"/>
      <c r="C194" s="15"/>
      <c r="D194" s="16"/>
      <c r="E194" s="16"/>
      <c r="F194" s="16"/>
      <c r="G194" s="16"/>
      <c r="H194" s="16"/>
      <c r="I194" s="5"/>
      <c r="J194" s="5"/>
      <c r="K194" s="5"/>
      <c r="L194" s="6"/>
    </row>
    <row r="195" spans="2:12" s="1" customFormat="1">
      <c r="B195" s="17"/>
      <c r="C195" s="17"/>
      <c r="D195" s="14"/>
      <c r="E195" s="14"/>
      <c r="F195" s="14"/>
      <c r="G195" s="14"/>
      <c r="H195" s="14"/>
      <c r="I195" s="5"/>
      <c r="J195" s="5"/>
      <c r="K195" s="5"/>
      <c r="L195" s="5"/>
    </row>
    <row r="196" spans="2:12" s="1" customFormat="1">
      <c r="B196" s="17"/>
      <c r="C196" s="17"/>
      <c r="D196" s="14"/>
      <c r="E196" s="14"/>
      <c r="F196" s="14"/>
      <c r="G196" s="14"/>
      <c r="H196" s="14"/>
      <c r="I196" s="5"/>
      <c r="J196" s="5"/>
      <c r="K196" s="5"/>
      <c r="L196" s="5"/>
    </row>
    <row r="197" spans="2:12" s="1" customFormat="1">
      <c r="B197" s="17"/>
      <c r="C197" s="17"/>
      <c r="D197" s="14"/>
      <c r="E197" s="14"/>
      <c r="F197" s="14"/>
      <c r="G197" s="14"/>
      <c r="H197" s="14"/>
      <c r="I197" s="5"/>
      <c r="J197" s="5"/>
      <c r="K197" s="5"/>
      <c r="L197" s="5"/>
    </row>
    <row r="198" spans="2:12" s="1" customFormat="1">
      <c r="B198" s="17"/>
      <c r="C198" s="17"/>
      <c r="D198" s="14"/>
      <c r="E198" s="14"/>
      <c r="F198" s="14"/>
      <c r="G198" s="14"/>
      <c r="H198" s="14"/>
      <c r="I198" s="5"/>
      <c r="J198" s="5"/>
      <c r="K198" s="5"/>
      <c r="L198" s="5"/>
    </row>
    <row r="199" spans="2:12" s="1" customFormat="1">
      <c r="B199" s="17"/>
      <c r="C199" s="17"/>
      <c r="D199" s="14"/>
      <c r="E199" s="14"/>
      <c r="F199" s="14"/>
      <c r="G199" s="14"/>
      <c r="H199" s="14"/>
      <c r="I199" s="5"/>
      <c r="J199" s="5"/>
      <c r="K199" s="5"/>
      <c r="L199" s="5"/>
    </row>
    <row r="200" spans="2:12" s="1" customFormat="1">
      <c r="B200" s="17"/>
      <c r="C200" s="17"/>
      <c r="D200" s="14"/>
      <c r="E200" s="14"/>
      <c r="F200" s="14"/>
      <c r="G200" s="14"/>
      <c r="H200" s="14"/>
      <c r="I200" s="5"/>
      <c r="J200" s="5"/>
      <c r="K200" s="5"/>
      <c r="L200" s="5"/>
    </row>
    <row r="201" spans="2:12" s="1" customFormat="1">
      <c r="B201" s="17"/>
      <c r="C201" s="17"/>
      <c r="D201" s="14"/>
      <c r="E201" s="14"/>
      <c r="F201" s="14"/>
      <c r="G201" s="14"/>
      <c r="H201" s="14"/>
      <c r="I201" s="5"/>
      <c r="J201" s="5"/>
      <c r="K201" s="5"/>
      <c r="L201" s="5"/>
    </row>
    <row r="202" spans="2:12" s="14" customFormat="1">
      <c r="B202" s="17"/>
      <c r="C202" s="17"/>
      <c r="I202" s="5"/>
      <c r="J202" s="5"/>
      <c r="K202" s="5"/>
      <c r="L202" s="5"/>
    </row>
    <row r="203" spans="2:12" s="14" customFormat="1">
      <c r="B203" s="17"/>
      <c r="C203" s="17"/>
      <c r="I203" s="5"/>
      <c r="J203" s="5"/>
      <c r="K203" s="5"/>
      <c r="L203" s="5"/>
    </row>
    <row r="204" spans="2:12" s="14" customFormat="1">
      <c r="B204" s="17"/>
      <c r="C204" s="17"/>
      <c r="I204" s="5"/>
      <c r="J204" s="5"/>
      <c r="K204" s="5"/>
      <c r="L204" s="5"/>
    </row>
    <row r="205" spans="2:12" s="14" customFormat="1">
      <c r="B205" s="17"/>
      <c r="C205" s="17"/>
      <c r="I205" s="5"/>
      <c r="J205" s="5"/>
      <c r="K205" s="5"/>
      <c r="L205" s="5"/>
    </row>
    <row r="206" spans="2:12" s="14" customFormat="1">
      <c r="B206" s="17"/>
      <c r="C206" s="17"/>
      <c r="I206" s="5"/>
      <c r="J206" s="5"/>
      <c r="K206" s="5"/>
      <c r="L206" s="5"/>
    </row>
    <row r="207" spans="2:12" s="14" customFormat="1">
      <c r="B207" s="17"/>
      <c r="C207" s="17"/>
      <c r="I207" s="5"/>
      <c r="J207" s="5"/>
      <c r="K207" s="5"/>
      <c r="L207" s="5"/>
    </row>
    <row r="208" spans="2:12" s="14" customFormat="1">
      <c r="B208" s="17"/>
      <c r="C208" s="17"/>
      <c r="I208" s="5"/>
      <c r="J208" s="5"/>
      <c r="K208" s="5"/>
      <c r="L208" s="5"/>
    </row>
    <row r="209" spans="2:12" s="14" customFormat="1">
      <c r="B209" s="17"/>
      <c r="C209" s="17"/>
      <c r="I209" s="5"/>
      <c r="J209" s="5"/>
      <c r="K209" s="5"/>
      <c r="L209" s="5"/>
    </row>
    <row r="210" spans="2:12" s="14" customFormat="1">
      <c r="I210" s="5"/>
      <c r="J210" s="5"/>
      <c r="K210" s="5"/>
      <c r="L210" s="5"/>
    </row>
    <row r="211" spans="2:12" s="14" customFormat="1">
      <c r="I211" s="5"/>
      <c r="J211" s="5"/>
      <c r="K211" s="5"/>
      <c r="L211" s="5"/>
    </row>
    <row r="212" spans="2:12" s="14" customFormat="1">
      <c r="I212" s="5"/>
      <c r="J212" s="5"/>
      <c r="K212" s="5"/>
      <c r="L212" s="5"/>
    </row>
    <row r="213" spans="2:12" s="14" customFormat="1">
      <c r="I213" s="5"/>
      <c r="J213" s="5"/>
      <c r="K213" s="5"/>
      <c r="L213" s="5"/>
    </row>
    <row r="214" spans="2:12" s="14" customFormat="1">
      <c r="I214" s="5"/>
      <c r="J214" s="5"/>
      <c r="K214" s="5"/>
      <c r="L214" s="5"/>
    </row>
    <row r="215" spans="2:12" s="14" customFormat="1">
      <c r="I215" s="5"/>
      <c r="J215" s="5"/>
      <c r="K215" s="5"/>
      <c r="L215" s="5"/>
    </row>
    <row r="216" spans="2:12" s="14" customFormat="1">
      <c r="I216" s="5"/>
      <c r="J216" s="5"/>
      <c r="K216" s="5"/>
      <c r="L216" s="5"/>
    </row>
    <row r="217" spans="2:12" s="14" customFormat="1">
      <c r="I217" s="5"/>
      <c r="J217" s="5"/>
      <c r="K217" s="5"/>
      <c r="L217" s="5"/>
    </row>
    <row r="218" spans="2:12" s="14" customFormat="1">
      <c r="I218" s="5"/>
      <c r="J218" s="5"/>
      <c r="K218" s="5"/>
      <c r="L218" s="5"/>
    </row>
    <row r="219" spans="2:12" s="14" customFormat="1">
      <c r="I219" s="5"/>
      <c r="J219" s="5"/>
      <c r="K219" s="5"/>
      <c r="L219" s="5"/>
    </row>
    <row r="220" spans="2:12" s="14" customFormat="1">
      <c r="I220" s="5"/>
      <c r="J220" s="5"/>
      <c r="K220" s="5"/>
      <c r="L220" s="5"/>
    </row>
    <row r="221" spans="2:12" s="14" customFormat="1">
      <c r="I221" s="5"/>
      <c r="J221" s="5"/>
      <c r="K221" s="5"/>
      <c r="L221" s="5"/>
    </row>
    <row r="222" spans="2:12" s="14" customFormat="1">
      <c r="I222" s="5"/>
      <c r="J222" s="5"/>
      <c r="K222" s="5"/>
      <c r="L222" s="5"/>
    </row>
    <row r="223" spans="2:12" s="14" customFormat="1">
      <c r="I223" s="5"/>
      <c r="J223" s="5"/>
      <c r="K223" s="5"/>
      <c r="L223" s="5"/>
    </row>
    <row r="224" spans="2:12" s="14" customFormat="1">
      <c r="I224" s="5"/>
      <c r="J224" s="5"/>
      <c r="K224" s="5"/>
      <c r="L224" s="5"/>
    </row>
    <row r="225" spans="2:12" s="14" customFormat="1">
      <c r="I225" s="5"/>
      <c r="J225" s="5"/>
      <c r="K225" s="5"/>
      <c r="L225" s="5"/>
    </row>
    <row r="226" spans="2:12" s="14" customFormat="1">
      <c r="I226" s="5"/>
      <c r="J226" s="5"/>
      <c r="K226" s="5"/>
      <c r="L226" s="5"/>
    </row>
    <row r="227" spans="2:12" s="14" customFormat="1">
      <c r="I227" s="5"/>
      <c r="J227" s="5"/>
      <c r="K227" s="5"/>
      <c r="L227" s="5"/>
    </row>
    <row r="228" spans="2:12" s="14" customFormat="1">
      <c r="I228" s="5"/>
      <c r="J228" s="5"/>
      <c r="K228" s="5"/>
      <c r="L228" s="5"/>
    </row>
    <row r="229" spans="2:12" s="14" customFormat="1">
      <c r="I229" s="5"/>
      <c r="J229" s="5"/>
      <c r="K229" s="5"/>
      <c r="L229" s="5"/>
    </row>
    <row r="230" spans="2:12" s="14" customFormat="1">
      <c r="I230" s="5"/>
      <c r="J230" s="5"/>
      <c r="K230" s="5"/>
      <c r="L230" s="5"/>
    </row>
    <row r="231" spans="2:12" s="14" customFormat="1">
      <c r="I231" s="5"/>
      <c r="J231" s="5"/>
      <c r="K231" s="5"/>
      <c r="L231" s="5"/>
    </row>
    <row r="232" spans="2:12" s="14" customFormat="1">
      <c r="I232" s="5"/>
      <c r="J232" s="5"/>
      <c r="K232" s="5"/>
      <c r="L232" s="5"/>
    </row>
    <row r="233" spans="2:12" s="14" customFormat="1">
      <c r="I233" s="5"/>
      <c r="J233" s="5"/>
      <c r="K233" s="5"/>
      <c r="L233" s="5"/>
    </row>
    <row r="234" spans="2:12" s="14" customFormat="1">
      <c r="I234" s="5"/>
      <c r="J234" s="5"/>
      <c r="K234" s="5"/>
      <c r="L234" s="5"/>
    </row>
    <row r="235" spans="2:12" s="14" customFormat="1">
      <c r="I235" s="5"/>
      <c r="J235" s="5"/>
      <c r="K235" s="5"/>
      <c r="L235" s="5"/>
    </row>
    <row r="236" spans="2:12" s="14" customFormat="1">
      <c r="I236" s="5"/>
      <c r="J236" s="5"/>
      <c r="K236" s="5"/>
      <c r="L236" s="5"/>
    </row>
    <row r="237" spans="2:12" s="14" customFormat="1">
      <c r="I237" s="5"/>
      <c r="J237" s="5"/>
      <c r="K237" s="5"/>
      <c r="L237" s="5"/>
    </row>
    <row r="238" spans="2:12" s="14" customFormat="1">
      <c r="I238" s="5"/>
      <c r="J238" s="5"/>
      <c r="K238" s="5"/>
      <c r="L238" s="5"/>
    </row>
    <row r="239" spans="2:12" s="14" customFormat="1">
      <c r="I239" s="5"/>
      <c r="J239" s="5"/>
      <c r="K239" s="5"/>
      <c r="L239" s="5"/>
    </row>
    <row r="240" spans="2:12" s="2" customFormat="1">
      <c r="B240" s="18"/>
      <c r="C240" s="18"/>
      <c r="D240" s="19"/>
      <c r="E240" s="19"/>
      <c r="F240" s="19"/>
      <c r="G240" s="19"/>
      <c r="H240" s="19"/>
      <c r="I240" s="5"/>
      <c r="J240" s="5"/>
      <c r="K240" s="5"/>
      <c r="L240" s="7"/>
    </row>
    <row r="241" spans="2:12" s="2" customFormat="1">
      <c r="B241" s="18"/>
      <c r="C241" s="18"/>
      <c r="D241" s="19"/>
      <c r="E241" s="19"/>
      <c r="F241" s="19"/>
      <c r="G241" s="19"/>
      <c r="H241" s="19"/>
      <c r="I241" s="5"/>
      <c r="J241" s="5"/>
      <c r="K241" s="5"/>
      <c r="L241" s="7"/>
    </row>
    <row r="242" spans="2:12" s="2" customFormat="1">
      <c r="B242" s="18"/>
      <c r="C242" s="18"/>
      <c r="D242" s="19"/>
      <c r="E242" s="19"/>
      <c r="F242" s="19"/>
      <c r="G242" s="19"/>
      <c r="H242" s="19"/>
      <c r="I242" s="5"/>
      <c r="J242" s="5"/>
      <c r="K242" s="5"/>
      <c r="L242" s="7"/>
    </row>
    <row r="243" spans="2:12" s="2" customFormat="1">
      <c r="B243" s="18"/>
      <c r="C243" s="18"/>
      <c r="D243" s="19"/>
      <c r="E243" s="19"/>
      <c r="F243" s="19"/>
      <c r="G243" s="19"/>
      <c r="H243" s="19"/>
      <c r="I243" s="5"/>
      <c r="J243" s="5"/>
      <c r="K243" s="5"/>
      <c r="L243" s="7"/>
    </row>
    <row r="244" spans="2:12" s="2" customFormat="1">
      <c r="B244" s="18"/>
      <c r="C244" s="18"/>
      <c r="D244" s="19"/>
      <c r="E244" s="19"/>
      <c r="F244" s="19"/>
      <c r="G244" s="19"/>
      <c r="H244" s="19"/>
      <c r="I244" s="5"/>
      <c r="J244" s="5"/>
      <c r="K244" s="5"/>
      <c r="L244" s="7"/>
    </row>
    <row r="245" spans="2:12" s="2" customFormat="1">
      <c r="B245" s="18"/>
      <c r="C245" s="18"/>
      <c r="D245" s="19"/>
      <c r="E245" s="19"/>
      <c r="F245" s="19"/>
      <c r="G245" s="19"/>
      <c r="H245" s="19"/>
      <c r="I245" s="5"/>
      <c r="J245" s="5"/>
      <c r="K245" s="5"/>
      <c r="L245" s="7"/>
    </row>
    <row r="246" spans="2:12" s="2" customFormat="1">
      <c r="B246" s="18"/>
      <c r="C246" s="18"/>
      <c r="D246" s="19"/>
      <c r="E246" s="19"/>
      <c r="F246" s="19"/>
      <c r="G246" s="19"/>
      <c r="H246" s="19"/>
      <c r="I246" s="5"/>
      <c r="J246" s="5"/>
      <c r="K246" s="5"/>
      <c r="L246" s="7"/>
    </row>
    <row r="247" spans="2:12" s="2" customFormat="1">
      <c r="B247" s="18"/>
      <c r="C247" s="18"/>
      <c r="D247" s="19"/>
      <c r="E247" s="19"/>
      <c r="F247" s="19"/>
      <c r="G247" s="19"/>
      <c r="H247" s="19"/>
      <c r="I247" s="5"/>
      <c r="J247" s="5"/>
      <c r="K247" s="5"/>
      <c r="L247" s="7"/>
    </row>
    <row r="248" spans="2:12" s="2" customFormat="1">
      <c r="B248" s="18"/>
      <c r="C248" s="18"/>
      <c r="D248" s="19"/>
      <c r="E248" s="19"/>
      <c r="F248" s="19"/>
      <c r="G248" s="19"/>
      <c r="H248" s="19"/>
      <c r="I248" s="5"/>
      <c r="J248" s="5"/>
      <c r="K248" s="5"/>
      <c r="L248" s="7"/>
    </row>
    <row r="249" spans="2:12" s="2" customFormat="1">
      <c r="B249" s="18"/>
      <c r="C249" s="18"/>
      <c r="D249" s="19"/>
      <c r="E249" s="19"/>
      <c r="F249" s="19"/>
      <c r="G249" s="19"/>
      <c r="H249" s="19"/>
      <c r="I249" s="5"/>
      <c r="J249" s="5"/>
      <c r="K249" s="5"/>
      <c r="L249" s="7"/>
    </row>
    <row r="250" spans="2:12" s="2" customFormat="1">
      <c r="B250" s="18"/>
      <c r="C250" s="18"/>
      <c r="D250" s="19"/>
      <c r="E250" s="19"/>
      <c r="F250" s="19"/>
      <c r="G250" s="19"/>
      <c r="H250" s="19"/>
      <c r="I250" s="5"/>
      <c r="J250" s="5"/>
      <c r="K250" s="5"/>
      <c r="L250" s="7"/>
    </row>
    <row r="251" spans="2:12" s="2" customFormat="1">
      <c r="B251" s="18"/>
      <c r="C251" s="18"/>
      <c r="D251" s="19"/>
      <c r="E251" s="19"/>
      <c r="F251" s="19"/>
      <c r="G251" s="19"/>
      <c r="H251" s="19"/>
      <c r="I251" s="5"/>
      <c r="J251" s="5"/>
      <c r="K251" s="5"/>
      <c r="L251" s="7"/>
    </row>
    <row r="252" spans="2:12" s="2" customFormat="1">
      <c r="B252" s="18"/>
      <c r="C252" s="18"/>
      <c r="D252" s="19"/>
      <c r="E252" s="19"/>
      <c r="F252" s="19"/>
      <c r="G252" s="19"/>
      <c r="H252" s="19"/>
      <c r="I252" s="5"/>
      <c r="J252" s="5"/>
      <c r="K252" s="5"/>
      <c r="L252" s="7"/>
    </row>
    <row r="253" spans="2:12" s="2" customFormat="1">
      <c r="B253" s="18"/>
      <c r="C253" s="18"/>
      <c r="D253" s="19"/>
      <c r="E253" s="19"/>
      <c r="F253" s="19"/>
      <c r="G253" s="19"/>
      <c r="H253" s="19"/>
      <c r="I253" s="5"/>
      <c r="J253" s="5"/>
      <c r="K253" s="5"/>
      <c r="L253" s="7"/>
    </row>
    <row r="254" spans="2:12" s="2" customFormat="1">
      <c r="B254" s="18"/>
      <c r="C254" s="18"/>
      <c r="D254" s="19"/>
      <c r="E254" s="19"/>
      <c r="F254" s="19"/>
      <c r="G254" s="19"/>
      <c r="H254" s="19"/>
      <c r="I254" s="5"/>
      <c r="J254" s="5"/>
      <c r="K254" s="5"/>
      <c r="L254" s="7"/>
    </row>
    <row r="255" spans="2:12" s="2" customFormat="1">
      <c r="B255" s="18"/>
      <c r="C255" s="18"/>
      <c r="D255" s="19"/>
      <c r="E255" s="19"/>
      <c r="F255" s="19"/>
      <c r="G255" s="19"/>
      <c r="H255" s="19"/>
      <c r="I255" s="5"/>
      <c r="J255" s="5"/>
      <c r="K255" s="5"/>
      <c r="L255" s="7"/>
    </row>
    <row r="256" spans="2:12" s="2" customFormat="1">
      <c r="B256" s="18"/>
      <c r="C256" s="18"/>
      <c r="D256" s="19"/>
      <c r="E256" s="19"/>
      <c r="F256" s="19"/>
      <c r="G256" s="19"/>
      <c r="H256" s="19"/>
      <c r="I256" s="5"/>
      <c r="J256" s="5"/>
      <c r="K256" s="5"/>
      <c r="L256" s="7"/>
    </row>
    <row r="257" spans="2:12" s="2" customFormat="1">
      <c r="B257" s="18"/>
      <c r="C257" s="18"/>
      <c r="D257" s="19"/>
      <c r="E257" s="19"/>
      <c r="F257" s="19"/>
      <c r="G257" s="19"/>
      <c r="H257" s="19"/>
      <c r="I257" s="5"/>
      <c r="J257" s="5"/>
      <c r="K257" s="5"/>
      <c r="L257" s="7"/>
    </row>
    <row r="258" spans="2:12" s="2" customFormat="1">
      <c r="B258" s="18"/>
      <c r="C258" s="18"/>
      <c r="D258" s="19"/>
      <c r="E258" s="19"/>
      <c r="F258" s="19"/>
      <c r="G258" s="19"/>
      <c r="H258" s="19"/>
      <c r="I258" s="5"/>
      <c r="J258" s="5"/>
      <c r="K258" s="5"/>
      <c r="L258" s="7"/>
    </row>
    <row r="259" spans="2:12" s="2" customFormat="1">
      <c r="B259" s="18"/>
      <c r="C259" s="18"/>
      <c r="D259" s="19"/>
      <c r="E259" s="19"/>
      <c r="F259" s="19"/>
      <c r="G259" s="19"/>
      <c r="H259" s="19"/>
      <c r="I259" s="5"/>
      <c r="J259" s="5"/>
      <c r="K259" s="5"/>
      <c r="L259" s="7"/>
    </row>
    <row r="260" spans="2:12" s="2" customFormat="1">
      <c r="B260" s="18"/>
      <c r="C260" s="18"/>
      <c r="D260" s="19"/>
      <c r="E260" s="19"/>
      <c r="F260" s="19"/>
      <c r="G260" s="19"/>
      <c r="H260" s="19"/>
      <c r="I260" s="5"/>
      <c r="J260" s="5"/>
      <c r="K260" s="5"/>
      <c r="L260" s="7"/>
    </row>
    <row r="261" spans="2:12" s="2" customFormat="1">
      <c r="B261" s="18"/>
      <c r="C261" s="18"/>
      <c r="D261" s="19"/>
      <c r="E261" s="19"/>
      <c r="F261" s="19"/>
      <c r="G261" s="19"/>
      <c r="H261" s="19"/>
      <c r="I261" s="5"/>
      <c r="J261" s="5"/>
      <c r="K261" s="5"/>
      <c r="L261" s="7"/>
    </row>
    <row r="262" spans="2:12" s="2" customFormat="1">
      <c r="B262" s="18"/>
      <c r="C262" s="18"/>
      <c r="D262" s="19"/>
      <c r="E262" s="19"/>
      <c r="F262" s="19"/>
      <c r="G262" s="19"/>
      <c r="H262" s="19"/>
      <c r="I262" s="5"/>
      <c r="J262" s="5"/>
      <c r="K262" s="5"/>
      <c r="L262" s="7"/>
    </row>
    <row r="263" spans="2:12" s="2" customFormat="1">
      <c r="B263" s="18"/>
      <c r="C263" s="18"/>
      <c r="D263" s="19"/>
      <c r="E263" s="19"/>
      <c r="F263" s="19"/>
      <c r="G263" s="19"/>
      <c r="H263" s="19"/>
      <c r="I263" s="5"/>
      <c r="J263" s="5"/>
      <c r="K263" s="5"/>
      <c r="L263" s="7"/>
    </row>
    <row r="264" spans="2:12" s="2" customFormat="1">
      <c r="B264" s="18"/>
      <c r="C264" s="18"/>
      <c r="D264" s="19"/>
      <c r="E264" s="19"/>
      <c r="F264" s="19"/>
      <c r="G264" s="19"/>
      <c r="H264" s="19"/>
      <c r="I264" s="5"/>
      <c r="J264" s="5"/>
      <c r="K264" s="5"/>
      <c r="L264" s="7"/>
    </row>
    <row r="265" spans="2:12" s="2" customFormat="1">
      <c r="B265" s="18"/>
      <c r="C265" s="18"/>
      <c r="D265" s="19"/>
      <c r="E265" s="19"/>
      <c r="F265" s="19"/>
      <c r="G265" s="19"/>
      <c r="H265" s="19"/>
      <c r="I265" s="5"/>
      <c r="J265" s="5"/>
      <c r="K265" s="5"/>
      <c r="L265" s="7"/>
    </row>
    <row r="266" spans="2:12" s="2" customFormat="1">
      <c r="B266" s="18"/>
      <c r="C266" s="18"/>
      <c r="D266" s="19"/>
      <c r="E266" s="19"/>
      <c r="F266" s="19"/>
      <c r="G266" s="19"/>
      <c r="H266" s="19"/>
      <c r="I266" s="5"/>
      <c r="J266" s="5"/>
      <c r="K266" s="5"/>
      <c r="L266" s="7"/>
    </row>
    <row r="267" spans="2:12" s="2" customFormat="1">
      <c r="B267" s="18"/>
      <c r="C267" s="18"/>
      <c r="D267" s="19"/>
      <c r="E267" s="19"/>
      <c r="F267" s="19"/>
      <c r="G267" s="19"/>
      <c r="H267" s="19"/>
      <c r="I267" s="5"/>
      <c r="J267" s="5"/>
      <c r="K267" s="5"/>
      <c r="L267" s="7"/>
    </row>
    <row r="268" spans="2:12" s="2" customFormat="1">
      <c r="B268" s="18"/>
      <c r="C268" s="18"/>
      <c r="D268" s="19"/>
      <c r="E268" s="19"/>
      <c r="F268" s="19"/>
      <c r="G268" s="19"/>
      <c r="H268" s="19"/>
      <c r="I268" s="5"/>
      <c r="J268" s="5"/>
      <c r="K268" s="5"/>
      <c r="L268" s="7"/>
    </row>
    <row r="269" spans="2:12" s="2" customFormat="1">
      <c r="B269" s="18"/>
      <c r="C269" s="18"/>
      <c r="D269" s="19"/>
      <c r="E269" s="19"/>
      <c r="F269" s="19"/>
      <c r="G269" s="19"/>
      <c r="H269" s="19"/>
      <c r="I269" s="5"/>
      <c r="J269" s="5"/>
      <c r="K269" s="5"/>
      <c r="L269" s="7"/>
    </row>
    <row r="270" spans="2:12" s="2" customFormat="1">
      <c r="B270" s="18"/>
      <c r="C270" s="18"/>
      <c r="D270" s="19"/>
      <c r="E270" s="19"/>
      <c r="F270" s="19"/>
      <c r="G270" s="19"/>
      <c r="H270" s="19"/>
      <c r="I270" s="5"/>
      <c r="J270" s="5"/>
      <c r="K270" s="5"/>
      <c r="L270" s="7"/>
    </row>
    <row r="271" spans="2:12" s="2" customFormat="1">
      <c r="B271" s="18"/>
      <c r="C271" s="18"/>
      <c r="D271" s="19"/>
      <c r="E271" s="19"/>
      <c r="F271" s="19"/>
      <c r="G271" s="19"/>
      <c r="H271" s="19"/>
      <c r="I271" s="5"/>
      <c r="J271" s="5"/>
      <c r="K271" s="5"/>
      <c r="L271" s="7"/>
    </row>
    <row r="272" spans="2:12" s="2" customFormat="1">
      <c r="B272" s="18"/>
      <c r="C272" s="18"/>
      <c r="D272" s="19"/>
      <c r="E272" s="19"/>
      <c r="F272" s="19"/>
      <c r="G272" s="19"/>
      <c r="H272" s="19"/>
      <c r="I272" s="5"/>
      <c r="J272" s="5"/>
      <c r="K272" s="5"/>
      <c r="L272" s="7"/>
    </row>
    <row r="273" spans="2:12" ht="21">
      <c r="B273" s="9"/>
      <c r="C273" s="9"/>
    </row>
    <row r="274" spans="2:12">
      <c r="B274" s="10"/>
      <c r="C274" s="10"/>
      <c r="E274" s="11"/>
      <c r="F274" s="11"/>
      <c r="G274" s="11"/>
      <c r="H274" s="11"/>
      <c r="L274" s="4"/>
    </row>
    <row r="275" spans="2:12">
      <c r="D275" s="11"/>
    </row>
    <row r="333" spans="2:12" ht="21">
      <c r="B333" s="9"/>
      <c r="C333" s="9"/>
    </row>
    <row r="334" spans="2:12">
      <c r="B334" s="10"/>
      <c r="C334" s="10"/>
      <c r="E334" s="11"/>
      <c r="F334" s="11"/>
      <c r="G334" s="11"/>
      <c r="H334" s="11"/>
      <c r="L334" s="4"/>
    </row>
    <row r="335" spans="2:12">
      <c r="D335" s="11"/>
    </row>
    <row r="393" spans="2:12" ht="21">
      <c r="B393" s="9"/>
      <c r="C393" s="9"/>
    </row>
    <row r="394" spans="2:12">
      <c r="B394" s="10"/>
      <c r="C394" s="10"/>
      <c r="E394" s="11"/>
      <c r="F394" s="11"/>
      <c r="G394" s="11"/>
      <c r="H394" s="11"/>
      <c r="L394" s="4"/>
    </row>
    <row r="395" spans="2:12">
      <c r="D395" s="11"/>
    </row>
    <row r="428" spans="2:12" ht="21">
      <c r="B428" s="9"/>
      <c r="C428" s="9"/>
    </row>
    <row r="429" spans="2:12">
      <c r="B429" s="10"/>
      <c r="C429" s="10"/>
      <c r="E429" s="11"/>
      <c r="F429" s="11"/>
      <c r="G429" s="11"/>
      <c r="H429" s="11"/>
      <c r="L429" s="4"/>
    </row>
    <row r="430" spans="2:12">
      <c r="D430" s="11"/>
    </row>
    <row r="480" spans="2:3" ht="21">
      <c r="B480" s="9"/>
      <c r="C480" s="9"/>
    </row>
    <row r="481" spans="2:12">
      <c r="B481" s="10"/>
      <c r="C481" s="10"/>
      <c r="E481" s="11"/>
      <c r="F481" s="11"/>
      <c r="G481" s="11"/>
      <c r="H481" s="11"/>
      <c r="L481" s="4"/>
    </row>
    <row r="482" spans="2:12">
      <c r="D482" s="11"/>
    </row>
    <row r="515" spans="2:12" ht="21">
      <c r="B515" s="9"/>
      <c r="C515" s="9"/>
    </row>
    <row r="516" spans="2:12">
      <c r="B516" s="10"/>
      <c r="C516" s="10"/>
      <c r="E516" s="11"/>
      <c r="F516" s="11"/>
      <c r="G516" s="11"/>
      <c r="H516" s="11"/>
      <c r="L516" s="4"/>
    </row>
    <row r="517" spans="2:12">
      <c r="D517" s="11"/>
    </row>
    <row r="581" spans="2:12" ht="21">
      <c r="B581" s="9"/>
      <c r="C581" s="9"/>
    </row>
    <row r="582" spans="2:12">
      <c r="B582" s="10"/>
      <c r="C582" s="10"/>
      <c r="E582" s="11"/>
      <c r="F582" s="11"/>
      <c r="G582" s="11"/>
      <c r="H582" s="11"/>
      <c r="L582" s="4"/>
    </row>
    <row r="583" spans="2:12">
      <c r="D583" s="11"/>
    </row>
    <row r="608" spans="2:3">
      <c r="B608" s="20"/>
      <c r="C608" s="20"/>
    </row>
    <row r="609" spans="4:4">
      <c r="D609" s="12"/>
    </row>
  </sheetData>
  <autoFilter ref="A3:L20" xr:uid="{00000000-0001-0000-0000-000000000000}">
    <sortState xmlns:xlrd2="http://schemas.microsoft.com/office/spreadsheetml/2017/richdata2" ref="A4:L23">
      <sortCondition ref="A3:A20"/>
    </sortState>
  </autoFilter>
  <hyperlinks>
    <hyperlink ref="F4" r:id="rId1" xr:uid="{F30FA63F-44A3-4B74-9467-11AAF599A410}"/>
    <hyperlink ref="F5" r:id="rId2" xr:uid="{FC40BF4C-EBAF-4E15-9E69-626C2390BA86}"/>
    <hyperlink ref="F6" r:id="rId3" xr:uid="{7EED33C1-01EA-4754-A805-EC9C2A83CE6B}"/>
    <hyperlink ref="F7" r:id="rId4" xr:uid="{DD9C4931-E8D3-4055-9C91-272EBFADD6D2}"/>
    <hyperlink ref="F9" r:id="rId5" xr:uid="{C3254968-1F32-41B3-9E9A-4BABEEC8B0D2}"/>
    <hyperlink ref="F10" r:id="rId6" xr:uid="{C766D68F-52B5-4429-977B-E645872C7EFA}"/>
    <hyperlink ref="F11" r:id="rId7" xr:uid="{BF66C17E-5445-484A-8D38-F39F0B0DD24E}"/>
    <hyperlink ref="F14" r:id="rId8" xr:uid="{17865D78-EFA3-44CE-8A94-65EF3723C088}"/>
    <hyperlink ref="F12" r:id="rId9" xr:uid="{8E55E073-1F98-4E53-AF50-A31052A10C6E}"/>
    <hyperlink ref="F15" r:id="rId10" xr:uid="{82FA2FA9-73FA-4113-95AC-0A8ECEE2D05D}"/>
    <hyperlink ref="F16" r:id="rId11" xr:uid="{B160F2F0-87C5-411B-B44F-ACB245E9B9AA}"/>
    <hyperlink ref="F17" r:id="rId12" xr:uid="{A2E1CFA0-67D9-4B50-BF9A-1F99C7083972}"/>
    <hyperlink ref="F18" r:id="rId13" xr:uid="{45BEED50-B454-4819-9A38-19107DF1CCEB}"/>
  </hyperlinks>
  <pageMargins left="0.70866141732283472" right="0.70866141732283472" top="0.74803149606299213" bottom="0.74803149606299213" header="0.31496062992125984" footer="0.31496062992125984"/>
  <pageSetup scale="41" fitToHeight="3" orientation="landscape" r:id="rId14"/>
  <extLst>
    <ext xmlns:x14="http://schemas.microsoft.com/office/spreadsheetml/2009/9/main" uri="{CCE6A557-97BC-4b89-ADB6-D9C93CAAB3DF}">
      <x14:dataValidations xmlns:xm="http://schemas.microsoft.com/office/excel/2006/main" disablePrompts="1" count="1">
        <x14:dataValidation type="list" allowBlank="1" showInputMessage="1" showErrorMessage="1" promptTitle="Type of BD Activity" prompt="Please select from the list" xr:uid="{0BAD4060-F2A2-41EE-87B7-F95A5C57D8D9}">
          <x14:formula1>
            <xm:f>'contact type'!$A$1:$A$9</xm:f>
          </x14:formula1>
          <xm:sqref>H4:H47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CAA1E-418B-4DA9-B6D1-C61B9574AC5A}">
  <sheetPr>
    <pageSetUpPr fitToPage="1"/>
  </sheetPr>
  <dimension ref="A1:N596"/>
  <sheetViews>
    <sheetView zoomScaleNormal="100" workbookViewId="0">
      <pane ySplit="3" topLeftCell="A4" activePane="bottomLeft" state="frozen"/>
      <selection pane="bottomLeft" activeCell="F6" sqref="F6"/>
    </sheetView>
  </sheetViews>
  <sheetFormatPr defaultRowHeight="15"/>
  <cols>
    <col min="1" max="1" width="5.7109375" customWidth="1"/>
    <col min="2" max="2" width="11.85546875" style="12" customWidth="1"/>
    <col min="3" max="3" width="20.7109375" style="12" customWidth="1"/>
    <col min="4" max="4" width="22.140625" style="8" customWidth="1"/>
    <col min="5" max="5" width="22.7109375" style="8" customWidth="1"/>
    <col min="6" max="6" width="31.7109375" style="8" customWidth="1"/>
    <col min="7" max="7" width="15.42578125" style="8" customWidth="1"/>
    <col min="8" max="8" width="16" style="8" customWidth="1"/>
    <col min="9" max="9" width="43.42578125" style="5" customWidth="1"/>
    <col min="10" max="10" width="22.140625" style="5" customWidth="1"/>
    <col min="11" max="11" width="24.42578125" style="5" customWidth="1"/>
    <col min="12" max="12" width="107.5703125" style="3" customWidth="1"/>
    <col min="13" max="13" width="32.85546875" customWidth="1"/>
    <col min="14" max="14" width="2.5703125" customWidth="1"/>
    <col min="16" max="16" width="13.85546875" bestFit="1" customWidth="1"/>
  </cols>
  <sheetData>
    <row r="1" spans="1:12" ht="26.25">
      <c r="A1" s="22" t="s">
        <v>459</v>
      </c>
    </row>
    <row r="2" spans="1:12" s="1" customFormat="1">
      <c r="D2" s="14"/>
      <c r="E2" s="14"/>
      <c r="F2" s="14"/>
      <c r="G2" s="14"/>
      <c r="H2" s="14"/>
      <c r="I2" s="5"/>
      <c r="J2" s="32"/>
      <c r="K2" s="5"/>
      <c r="L2" s="5"/>
    </row>
    <row r="3" spans="1:12" s="27" customFormat="1">
      <c r="A3" s="29" t="s">
        <v>40</v>
      </c>
      <c r="B3" s="28" t="s">
        <v>41</v>
      </c>
      <c r="C3" s="28" t="s">
        <v>42</v>
      </c>
      <c r="D3" s="29" t="s">
        <v>43</v>
      </c>
      <c r="E3" s="29" t="s">
        <v>44</v>
      </c>
      <c r="F3" s="29" t="s">
        <v>45</v>
      </c>
      <c r="G3" s="29" t="s">
        <v>46</v>
      </c>
      <c r="H3" s="29" t="s">
        <v>47</v>
      </c>
      <c r="I3" s="30" t="s">
        <v>48</v>
      </c>
      <c r="J3" s="30" t="s">
        <v>49</v>
      </c>
      <c r="K3" s="30" t="s">
        <v>50</v>
      </c>
      <c r="L3" s="27" t="s">
        <v>51</v>
      </c>
    </row>
    <row r="4" spans="1:12" s="1" customFormat="1">
      <c r="A4" s="17">
        <v>1</v>
      </c>
      <c r="B4" s="23"/>
      <c r="C4" s="23"/>
      <c r="D4" s="14"/>
      <c r="E4" s="14"/>
      <c r="F4" s="31"/>
      <c r="G4" s="8"/>
      <c r="H4" s="14"/>
      <c r="I4" s="5"/>
      <c r="J4" s="25">
        <v>0.01</v>
      </c>
      <c r="K4" s="25">
        <v>0</v>
      </c>
      <c r="L4" s="5"/>
    </row>
    <row r="5" spans="1:12" s="1" customFormat="1" ht="15.75" thickBot="1">
      <c r="A5" s="17"/>
      <c r="B5" s="23"/>
      <c r="C5" s="23"/>
      <c r="D5" s="14"/>
      <c r="E5" s="14"/>
      <c r="F5" s="31"/>
      <c r="G5" s="14"/>
      <c r="H5" s="14"/>
      <c r="I5" s="5"/>
      <c r="J5" s="25"/>
      <c r="K5" s="5"/>
      <c r="L5" s="5"/>
    </row>
    <row r="6" spans="1:12" s="1" customFormat="1" ht="15.75" thickTop="1">
      <c r="A6" s="34" t="s">
        <v>16</v>
      </c>
      <c r="B6" s="35"/>
      <c r="C6" s="35"/>
      <c r="D6" s="36"/>
      <c r="E6" s="36"/>
      <c r="F6" s="36"/>
      <c r="G6" s="36"/>
      <c r="H6" s="36"/>
      <c r="I6" s="37"/>
      <c r="J6" s="38"/>
      <c r="K6" s="37"/>
      <c r="L6" s="37"/>
    </row>
    <row r="7" spans="1:12" s="1" customFormat="1">
      <c r="A7" s="24">
        <f>A4</f>
        <v>1</v>
      </c>
      <c r="B7" s="23"/>
      <c r="C7" s="23"/>
      <c r="D7" s="14"/>
      <c r="E7" s="14"/>
      <c r="F7" s="14"/>
      <c r="G7" s="14"/>
      <c r="H7" s="14"/>
      <c r="I7" s="5"/>
      <c r="J7" s="25">
        <f>SUM(J4:J6)</f>
        <v>0.01</v>
      </c>
      <c r="K7" s="25">
        <f>SUM(K4:K6)</f>
        <v>0</v>
      </c>
      <c r="L7" s="5"/>
    </row>
    <row r="8" spans="1:12" s="1" customFormat="1">
      <c r="A8" s="17"/>
      <c r="B8" s="23"/>
      <c r="C8" s="23"/>
      <c r="D8" s="14"/>
      <c r="E8" s="14"/>
      <c r="F8" s="31"/>
      <c r="G8" s="8"/>
      <c r="H8" s="14"/>
      <c r="I8" s="5"/>
      <c r="J8" s="5"/>
      <c r="K8" s="5"/>
      <c r="L8" s="5"/>
    </row>
    <row r="9" spans="1:12" s="1" customFormat="1">
      <c r="A9" s="17"/>
      <c r="B9" s="23"/>
      <c r="C9" s="23"/>
      <c r="D9" s="14"/>
      <c r="E9" s="14"/>
      <c r="F9" s="31"/>
      <c r="G9" s="8"/>
      <c r="H9" s="14"/>
      <c r="I9" s="5"/>
      <c r="J9" s="25"/>
      <c r="K9" s="5"/>
      <c r="L9" s="5"/>
    </row>
    <row r="10" spans="1:12" s="1" customFormat="1">
      <c r="A10" s="17"/>
      <c r="B10" s="23"/>
      <c r="C10" s="23"/>
      <c r="D10" s="14"/>
      <c r="E10" s="14"/>
      <c r="F10" s="31"/>
      <c r="G10" s="8"/>
      <c r="H10" s="14"/>
      <c r="I10" s="5"/>
      <c r="J10" s="25"/>
      <c r="K10" s="5"/>
      <c r="L10" s="5"/>
    </row>
    <row r="11" spans="1:12" s="1" customFormat="1">
      <c r="A11" s="24"/>
      <c r="B11" s="23"/>
      <c r="C11" s="23"/>
      <c r="D11" s="14"/>
      <c r="E11" s="14"/>
      <c r="F11" s="31"/>
      <c r="G11" s="14"/>
      <c r="H11" s="14"/>
      <c r="I11" s="5"/>
      <c r="J11" s="25"/>
      <c r="K11" s="5"/>
      <c r="L11" s="5"/>
    </row>
    <row r="12" spans="1:12" s="1" customFormat="1">
      <c r="A12" s="24"/>
      <c r="B12" s="23"/>
      <c r="C12" s="23"/>
      <c r="D12" s="14"/>
      <c r="E12" s="14"/>
      <c r="F12" s="31"/>
      <c r="G12" s="14"/>
      <c r="H12" s="14"/>
      <c r="I12" s="5"/>
      <c r="J12" s="25"/>
      <c r="K12" s="5"/>
      <c r="L12" s="5"/>
    </row>
    <row r="13" spans="1:12" s="1" customFormat="1">
      <c r="A13" s="24"/>
      <c r="B13" s="23"/>
      <c r="C13" s="23"/>
      <c r="D13" s="14"/>
      <c r="E13" s="14"/>
      <c r="F13" s="14"/>
      <c r="G13" s="14"/>
      <c r="H13" s="14"/>
      <c r="I13" s="5"/>
      <c r="J13" s="25"/>
      <c r="K13" s="5"/>
      <c r="L13" s="5"/>
    </row>
    <row r="14" spans="1:12" s="1" customFormat="1">
      <c r="A14" s="24"/>
      <c r="B14" s="23"/>
      <c r="C14" s="23"/>
      <c r="D14" s="14"/>
      <c r="E14" s="14"/>
      <c r="F14" s="14"/>
      <c r="G14" s="14"/>
      <c r="H14" s="14"/>
      <c r="I14" s="5"/>
      <c r="J14" s="25"/>
      <c r="K14" s="5"/>
      <c r="L14" s="5"/>
    </row>
    <row r="15" spans="1:12" s="1" customFormat="1">
      <c r="A15" s="24"/>
      <c r="B15" s="23"/>
      <c r="C15" s="23"/>
      <c r="D15" s="14"/>
      <c r="E15" s="14"/>
      <c r="F15" s="14"/>
      <c r="G15" s="14"/>
      <c r="H15" s="14"/>
      <c r="I15" s="5"/>
      <c r="J15" s="25"/>
      <c r="K15" s="5"/>
      <c r="L15" s="5"/>
    </row>
    <row r="16" spans="1:12" s="1" customFormat="1">
      <c r="A16" s="24"/>
      <c r="B16" s="23"/>
      <c r="C16" s="23"/>
      <c r="D16" s="14"/>
      <c r="E16" s="14"/>
      <c r="F16" s="14"/>
      <c r="G16" s="14"/>
      <c r="H16" s="14"/>
      <c r="I16" s="5"/>
      <c r="J16" s="25"/>
      <c r="K16" s="5"/>
      <c r="L16" s="5"/>
    </row>
    <row r="17" spans="1:12" s="1" customFormat="1">
      <c r="A17" s="24"/>
      <c r="B17" s="23"/>
      <c r="C17" s="23"/>
      <c r="D17" s="14"/>
      <c r="E17" s="14"/>
      <c r="F17" s="14"/>
      <c r="G17" s="14"/>
      <c r="H17" s="14"/>
      <c r="I17" s="5"/>
      <c r="J17" s="25"/>
      <c r="K17" s="5"/>
      <c r="L17" s="5"/>
    </row>
    <row r="18" spans="1:12" s="1" customFormat="1">
      <c r="A18" s="24"/>
      <c r="B18" s="23"/>
      <c r="C18" s="23"/>
      <c r="D18" s="14"/>
      <c r="E18" s="14"/>
      <c r="F18" s="14"/>
      <c r="G18" s="14"/>
      <c r="H18" s="14"/>
      <c r="I18" s="5"/>
      <c r="J18" s="25"/>
      <c r="K18" s="5"/>
      <c r="L18" s="5"/>
    </row>
    <row r="19" spans="1:12" s="1" customFormat="1">
      <c r="A19" s="24"/>
      <c r="B19" s="23"/>
      <c r="C19" s="23"/>
      <c r="D19" s="14"/>
      <c r="E19" s="14"/>
      <c r="F19" s="14"/>
      <c r="G19" s="14"/>
      <c r="H19" s="14"/>
      <c r="I19" s="5"/>
      <c r="J19" s="25"/>
      <c r="K19" s="5"/>
      <c r="L19" s="5"/>
    </row>
    <row r="20" spans="1:12" s="1" customFormat="1">
      <c r="A20" s="24"/>
      <c r="B20" s="23"/>
      <c r="C20" s="23"/>
      <c r="D20" s="14"/>
      <c r="E20" s="14"/>
      <c r="F20" s="14"/>
      <c r="G20" s="14"/>
      <c r="H20" s="14"/>
      <c r="I20" s="5"/>
      <c r="J20" s="25"/>
      <c r="K20" s="5"/>
      <c r="L20" s="5"/>
    </row>
    <row r="21" spans="1:12" s="1" customFormat="1">
      <c r="A21" s="24"/>
      <c r="B21" s="23"/>
      <c r="C21" s="23"/>
      <c r="D21" s="14"/>
      <c r="E21" s="14"/>
      <c r="F21" s="14"/>
      <c r="G21" s="14"/>
      <c r="H21" s="14"/>
      <c r="I21" s="5"/>
      <c r="J21" s="25"/>
      <c r="K21" s="5"/>
      <c r="L21" s="5"/>
    </row>
    <row r="22" spans="1:12" s="1" customFormat="1">
      <c r="A22" s="24"/>
      <c r="B22" s="23"/>
      <c r="C22" s="23"/>
      <c r="D22" s="14"/>
      <c r="E22" s="14"/>
      <c r="F22" s="14"/>
      <c r="G22" s="14"/>
      <c r="H22" s="14"/>
      <c r="I22" s="5"/>
      <c r="J22" s="25"/>
      <c r="K22" s="5"/>
      <c r="L22" s="5"/>
    </row>
    <row r="23" spans="1:12" s="1" customFormat="1">
      <c r="A23" s="24"/>
      <c r="B23" s="23"/>
      <c r="C23" s="23"/>
      <c r="D23" s="14"/>
      <c r="E23" s="14"/>
      <c r="F23" s="14"/>
      <c r="G23" s="14"/>
      <c r="H23" s="14"/>
      <c r="I23" s="5"/>
      <c r="J23" s="25"/>
      <c r="K23" s="5"/>
      <c r="L23" s="5"/>
    </row>
    <row r="24" spans="1:12" s="1" customFormat="1">
      <c r="A24" s="24"/>
      <c r="B24" s="23"/>
      <c r="C24" s="23"/>
      <c r="D24" s="14"/>
      <c r="E24" s="14"/>
      <c r="F24" s="14"/>
      <c r="G24" s="14"/>
      <c r="H24" s="14"/>
      <c r="I24" s="5"/>
      <c r="J24" s="25"/>
      <c r="K24" s="5"/>
      <c r="L24" s="5"/>
    </row>
    <row r="25" spans="1:12" s="1" customFormat="1">
      <c r="A25" s="24"/>
      <c r="B25" s="23"/>
      <c r="C25" s="23"/>
      <c r="D25" s="14"/>
      <c r="E25" s="14"/>
      <c r="F25" s="14"/>
      <c r="G25" s="14"/>
      <c r="H25" s="14"/>
      <c r="I25" s="5"/>
      <c r="J25" s="25"/>
      <c r="K25" s="5"/>
      <c r="L25" s="5"/>
    </row>
    <row r="26" spans="1:12" s="1" customFormat="1">
      <c r="A26" s="24"/>
      <c r="B26" s="23"/>
      <c r="C26" s="23"/>
      <c r="D26" s="14"/>
      <c r="E26" s="14"/>
      <c r="F26" s="14"/>
      <c r="G26" s="14"/>
      <c r="H26" s="14"/>
      <c r="I26" s="5"/>
      <c r="J26" s="25"/>
      <c r="K26" s="5"/>
      <c r="L26" s="5"/>
    </row>
    <row r="27" spans="1:12" s="1" customFormat="1">
      <c r="A27" s="24"/>
      <c r="B27" s="23"/>
      <c r="C27" s="23"/>
      <c r="D27" s="14"/>
      <c r="E27" s="14"/>
      <c r="F27" s="14"/>
      <c r="G27" s="14"/>
      <c r="H27" s="14"/>
      <c r="I27" s="5"/>
      <c r="J27" s="25"/>
      <c r="K27" s="5"/>
      <c r="L27" s="5"/>
    </row>
    <row r="28" spans="1:12" s="1" customFormat="1">
      <c r="A28" s="24"/>
      <c r="B28" s="23"/>
      <c r="C28" s="23"/>
      <c r="D28" s="14"/>
      <c r="E28" s="14"/>
      <c r="F28" s="14"/>
      <c r="G28" s="14"/>
      <c r="H28" s="14"/>
      <c r="I28" s="5"/>
      <c r="J28" s="25"/>
      <c r="K28" s="5"/>
      <c r="L28" s="5"/>
    </row>
    <row r="29" spans="1:12" s="1" customFormat="1">
      <c r="A29" s="24"/>
      <c r="B29" s="23"/>
      <c r="C29" s="23"/>
      <c r="D29" s="14"/>
      <c r="E29" s="14"/>
      <c r="F29" s="14"/>
      <c r="G29" s="14"/>
      <c r="H29" s="14"/>
      <c r="I29" s="5"/>
      <c r="J29" s="25"/>
      <c r="K29" s="5"/>
      <c r="L29" s="5"/>
    </row>
    <row r="30" spans="1:12" s="1" customFormat="1">
      <c r="A30" s="24"/>
      <c r="B30" s="23"/>
      <c r="C30" s="23"/>
      <c r="D30" s="14"/>
      <c r="E30" s="14"/>
      <c r="F30" s="14"/>
      <c r="G30" s="14"/>
      <c r="H30" s="14"/>
      <c r="I30" s="5"/>
      <c r="J30" s="25"/>
      <c r="K30" s="5"/>
      <c r="L30" s="5"/>
    </row>
    <row r="31" spans="1:12" s="1" customFormat="1">
      <c r="A31" s="24"/>
      <c r="B31" s="23"/>
      <c r="C31" s="23"/>
      <c r="D31" s="14"/>
      <c r="E31" s="14"/>
      <c r="F31" s="14"/>
      <c r="G31" s="14"/>
      <c r="H31" s="14"/>
      <c r="I31" s="5"/>
      <c r="J31" s="25"/>
      <c r="K31" s="5"/>
      <c r="L31" s="5"/>
    </row>
    <row r="32" spans="1:12" s="1" customFormat="1">
      <c r="A32" s="24"/>
      <c r="B32" s="23"/>
      <c r="C32" s="23"/>
      <c r="D32" s="14"/>
      <c r="E32" s="14"/>
      <c r="F32" s="14"/>
      <c r="G32" s="14"/>
      <c r="H32" s="14"/>
      <c r="I32" s="5"/>
      <c r="J32" s="25"/>
      <c r="K32" s="5"/>
      <c r="L32" s="5"/>
    </row>
    <row r="33" spans="1:12" s="1" customFormat="1">
      <c r="A33" s="24"/>
      <c r="B33" s="23"/>
      <c r="C33" s="23"/>
      <c r="D33" s="14"/>
      <c r="E33" s="14"/>
      <c r="F33" s="14"/>
      <c r="G33" s="14"/>
      <c r="H33" s="14"/>
      <c r="I33" s="5"/>
      <c r="J33" s="25"/>
      <c r="K33" s="5"/>
      <c r="L33" s="5"/>
    </row>
    <row r="34" spans="1:12" s="1" customFormat="1">
      <c r="A34" s="24"/>
      <c r="B34" s="26"/>
      <c r="C34" s="23"/>
      <c r="D34" s="14"/>
      <c r="E34" s="14"/>
      <c r="F34" s="14"/>
      <c r="G34" s="14"/>
      <c r="H34" s="14"/>
      <c r="I34" s="5"/>
      <c r="J34" s="25"/>
      <c r="K34" s="5"/>
      <c r="L34" s="5"/>
    </row>
    <row r="35" spans="1:12" s="1" customFormat="1">
      <c r="B35" s="17"/>
      <c r="C35" s="17"/>
      <c r="D35" s="14"/>
      <c r="E35" s="14"/>
      <c r="F35" s="14"/>
      <c r="G35" s="14"/>
      <c r="H35" s="14"/>
      <c r="I35" s="5"/>
      <c r="J35" s="5"/>
      <c r="K35" s="5"/>
      <c r="L35" s="5"/>
    </row>
    <row r="36" spans="1:12" s="1" customFormat="1">
      <c r="B36" s="17"/>
      <c r="C36" s="17"/>
      <c r="D36" s="14"/>
      <c r="E36" s="14"/>
      <c r="F36" s="14"/>
      <c r="G36" s="14"/>
      <c r="H36" s="14"/>
      <c r="I36" s="5"/>
      <c r="J36" s="5"/>
      <c r="K36" s="5"/>
      <c r="L36" s="5"/>
    </row>
    <row r="37" spans="1:12" s="1" customFormat="1">
      <c r="B37" s="17"/>
      <c r="C37" s="17"/>
      <c r="D37" s="14"/>
      <c r="E37" s="14"/>
      <c r="F37" s="14"/>
      <c r="G37" s="14"/>
      <c r="H37" s="14"/>
      <c r="I37" s="5"/>
      <c r="J37" s="5"/>
      <c r="K37" s="5"/>
      <c r="L37" s="5"/>
    </row>
    <row r="38" spans="1:12" s="1" customFormat="1">
      <c r="B38" s="17"/>
      <c r="C38" s="17"/>
      <c r="D38" s="14"/>
      <c r="E38" s="14"/>
      <c r="F38" s="14"/>
      <c r="G38" s="14"/>
      <c r="H38" s="14"/>
      <c r="I38" s="5"/>
      <c r="J38" s="5"/>
      <c r="K38" s="5"/>
      <c r="L38" s="5"/>
    </row>
    <row r="39" spans="1:12" s="1" customFormat="1">
      <c r="B39" s="17"/>
      <c r="C39" s="17"/>
      <c r="D39" s="14"/>
      <c r="E39" s="14"/>
      <c r="F39" s="14"/>
      <c r="G39" s="14"/>
      <c r="H39" s="14"/>
      <c r="I39" s="5"/>
      <c r="J39" s="5"/>
      <c r="K39" s="5"/>
      <c r="L39" s="5"/>
    </row>
    <row r="40" spans="1:12" s="1" customFormat="1">
      <c r="B40" s="17"/>
      <c r="C40" s="17"/>
      <c r="D40" s="14"/>
      <c r="E40" s="14"/>
      <c r="F40" s="14"/>
      <c r="G40" s="14"/>
      <c r="H40" s="14"/>
      <c r="I40" s="5"/>
      <c r="J40" s="5"/>
      <c r="K40" s="5"/>
      <c r="L40" s="5"/>
    </row>
    <row r="41" spans="1:12" s="1" customFormat="1">
      <c r="B41" s="17"/>
      <c r="C41" s="17"/>
      <c r="D41" s="14"/>
      <c r="E41" s="14"/>
      <c r="F41" s="14"/>
      <c r="G41" s="14"/>
      <c r="H41" s="14"/>
      <c r="I41" s="5"/>
      <c r="J41" s="5"/>
      <c r="K41" s="5"/>
      <c r="L41" s="5"/>
    </row>
    <row r="42" spans="1:12" s="1" customFormat="1">
      <c r="B42" s="17"/>
      <c r="C42" s="17"/>
      <c r="D42" s="14"/>
      <c r="E42" s="14"/>
      <c r="F42" s="14"/>
      <c r="G42" s="14"/>
      <c r="H42" s="14"/>
      <c r="I42" s="5"/>
      <c r="J42" s="5"/>
      <c r="K42" s="5"/>
      <c r="L42" s="5"/>
    </row>
    <row r="43" spans="1:12" s="1" customFormat="1">
      <c r="B43" s="17"/>
      <c r="C43" s="17"/>
      <c r="D43" s="14"/>
      <c r="E43" s="14"/>
      <c r="F43" s="14"/>
      <c r="G43" s="14"/>
      <c r="H43" s="14"/>
      <c r="I43" s="5"/>
      <c r="J43" s="5"/>
      <c r="K43" s="5"/>
      <c r="L43" s="5"/>
    </row>
    <row r="44" spans="1:12" s="1" customFormat="1">
      <c r="B44" s="17"/>
      <c r="C44" s="17"/>
      <c r="D44" s="14"/>
      <c r="E44" s="14"/>
      <c r="F44" s="14"/>
      <c r="G44" s="14"/>
      <c r="H44" s="14"/>
      <c r="I44" s="5"/>
      <c r="J44" s="5"/>
      <c r="K44" s="5"/>
      <c r="L44" s="5"/>
    </row>
    <row r="45" spans="1:12" s="1" customFormat="1">
      <c r="B45" s="17"/>
      <c r="C45" s="17"/>
      <c r="D45" s="14"/>
      <c r="E45" s="14"/>
      <c r="F45" s="14"/>
      <c r="G45" s="14"/>
      <c r="H45" s="14"/>
      <c r="I45" s="5"/>
      <c r="J45" s="5"/>
      <c r="K45" s="5"/>
      <c r="L45" s="5"/>
    </row>
    <row r="46" spans="1:12" s="1" customFormat="1">
      <c r="B46" s="17"/>
      <c r="C46" s="17"/>
      <c r="D46" s="14"/>
      <c r="E46" s="14"/>
      <c r="F46" s="14"/>
      <c r="G46" s="14"/>
      <c r="H46" s="14"/>
      <c r="I46" s="5"/>
      <c r="J46" s="5"/>
      <c r="K46" s="5"/>
      <c r="L46" s="5"/>
    </row>
    <row r="47" spans="1:12" s="1" customFormat="1">
      <c r="B47" s="17"/>
      <c r="C47" s="17"/>
      <c r="D47" s="14"/>
      <c r="E47" s="14"/>
      <c r="F47" s="14"/>
      <c r="G47" s="14"/>
      <c r="H47" s="14"/>
      <c r="I47" s="5"/>
      <c r="J47" s="5"/>
      <c r="K47" s="5"/>
      <c r="L47" s="5"/>
    </row>
    <row r="48" spans="1:12" s="1" customFormat="1">
      <c r="B48" s="17"/>
      <c r="C48" s="17"/>
      <c r="D48" s="14"/>
      <c r="E48" s="14"/>
      <c r="F48" s="14"/>
      <c r="G48" s="14"/>
      <c r="H48" s="14"/>
      <c r="I48" s="5"/>
      <c r="J48" s="5"/>
      <c r="K48" s="5"/>
      <c r="L48" s="5"/>
    </row>
    <row r="49" spans="2:12" s="1" customFormat="1">
      <c r="B49" s="17"/>
      <c r="C49" s="17"/>
      <c r="D49" s="14"/>
      <c r="E49" s="14"/>
      <c r="F49" s="14"/>
      <c r="G49" s="14"/>
      <c r="H49" s="14"/>
      <c r="I49" s="5"/>
      <c r="J49" s="5"/>
      <c r="K49" s="5"/>
      <c r="L49" s="5"/>
    </row>
    <row r="50" spans="2:12" s="1" customFormat="1">
      <c r="B50" s="17"/>
      <c r="C50" s="17"/>
      <c r="D50" s="14"/>
      <c r="E50" s="14"/>
      <c r="F50" s="14"/>
      <c r="G50" s="14"/>
      <c r="H50" s="14"/>
      <c r="I50" s="5"/>
      <c r="J50" s="5"/>
      <c r="K50" s="5"/>
      <c r="L50" s="5"/>
    </row>
    <row r="51" spans="2:12" s="1" customFormat="1">
      <c r="B51" s="17"/>
      <c r="C51" s="17"/>
      <c r="D51" s="14"/>
      <c r="E51" s="14"/>
      <c r="F51" s="14"/>
      <c r="G51" s="14"/>
      <c r="H51" s="14"/>
      <c r="I51" s="5"/>
      <c r="J51" s="5"/>
      <c r="K51" s="5"/>
      <c r="L51" s="5"/>
    </row>
    <row r="52" spans="2:12" s="1" customFormat="1">
      <c r="B52" s="17"/>
      <c r="C52" s="17"/>
      <c r="D52" s="14"/>
      <c r="E52" s="14"/>
      <c r="F52" s="14"/>
      <c r="G52" s="14"/>
      <c r="H52" s="14"/>
      <c r="I52" s="5"/>
      <c r="J52" s="5"/>
      <c r="K52" s="5"/>
      <c r="L52" s="5"/>
    </row>
    <row r="53" spans="2:12" s="1" customFormat="1">
      <c r="B53" s="17"/>
      <c r="C53" s="17"/>
      <c r="D53" s="14"/>
      <c r="E53" s="14"/>
      <c r="F53" s="14"/>
      <c r="G53" s="14"/>
      <c r="H53" s="14"/>
      <c r="I53" s="5"/>
      <c r="J53" s="5"/>
      <c r="K53" s="5"/>
      <c r="L53" s="5"/>
    </row>
    <row r="54" spans="2:12" s="1" customFormat="1">
      <c r="B54" s="17"/>
      <c r="C54" s="17"/>
      <c r="D54" s="14"/>
      <c r="E54" s="14"/>
      <c r="F54" s="14"/>
      <c r="G54" s="14"/>
      <c r="H54" s="14"/>
      <c r="I54" s="5"/>
      <c r="J54" s="5"/>
      <c r="K54" s="5"/>
      <c r="L54" s="5"/>
    </row>
    <row r="55" spans="2:12" s="1" customFormat="1">
      <c r="B55" s="17"/>
      <c r="C55" s="17"/>
      <c r="D55" s="14"/>
      <c r="E55" s="14"/>
      <c r="F55" s="14"/>
      <c r="G55" s="14"/>
      <c r="H55" s="14"/>
      <c r="I55" s="5"/>
      <c r="J55" s="5"/>
      <c r="K55" s="5"/>
      <c r="L55" s="5"/>
    </row>
    <row r="56" spans="2:12" s="1" customFormat="1">
      <c r="B56" s="17"/>
      <c r="C56" s="17"/>
      <c r="D56" s="14"/>
      <c r="E56" s="14"/>
      <c r="F56" s="14"/>
      <c r="G56" s="14"/>
      <c r="H56" s="14"/>
      <c r="I56" s="5"/>
      <c r="J56" s="5"/>
      <c r="K56" s="5"/>
      <c r="L56" s="5"/>
    </row>
    <row r="57" spans="2:12" s="1" customFormat="1">
      <c r="B57" s="17"/>
      <c r="C57" s="17"/>
      <c r="D57" s="14"/>
      <c r="E57" s="14"/>
      <c r="F57" s="14"/>
      <c r="G57" s="14"/>
      <c r="H57" s="14"/>
      <c r="I57" s="5"/>
      <c r="J57" s="5"/>
      <c r="K57" s="5"/>
      <c r="L57" s="5"/>
    </row>
    <row r="58" spans="2:12" s="1" customFormat="1">
      <c r="B58" s="17"/>
      <c r="C58" s="17"/>
      <c r="D58" s="14"/>
      <c r="E58" s="14"/>
      <c r="F58" s="14"/>
      <c r="G58" s="14"/>
      <c r="H58" s="14"/>
      <c r="I58" s="5"/>
      <c r="J58" s="5"/>
      <c r="K58" s="5"/>
      <c r="L58" s="5"/>
    </row>
    <row r="59" spans="2:12" s="1" customFormat="1">
      <c r="B59" s="17"/>
      <c r="C59" s="17"/>
      <c r="D59" s="14"/>
      <c r="E59" s="14"/>
      <c r="F59" s="14"/>
      <c r="G59" s="14"/>
      <c r="H59" s="14"/>
      <c r="I59" s="5"/>
      <c r="J59" s="5"/>
      <c r="K59" s="5"/>
      <c r="L59" s="5"/>
    </row>
    <row r="60" spans="2:12" s="1" customFormat="1">
      <c r="B60" s="17"/>
      <c r="C60" s="17"/>
      <c r="D60" s="14"/>
      <c r="E60" s="14"/>
      <c r="F60" s="14"/>
      <c r="G60" s="14"/>
      <c r="H60" s="14"/>
      <c r="I60" s="5"/>
      <c r="J60" s="5"/>
      <c r="K60" s="5"/>
      <c r="L60" s="5"/>
    </row>
    <row r="61" spans="2:12" s="1" customFormat="1">
      <c r="B61" s="17"/>
      <c r="C61" s="17"/>
      <c r="D61" s="14"/>
      <c r="E61" s="14"/>
      <c r="F61" s="14"/>
      <c r="G61" s="14"/>
      <c r="H61" s="14"/>
      <c r="I61" s="5"/>
      <c r="J61" s="5"/>
      <c r="K61" s="5"/>
      <c r="L61" s="5"/>
    </row>
    <row r="62" spans="2:12" s="1" customFormat="1">
      <c r="B62" s="17"/>
      <c r="C62" s="17"/>
      <c r="D62" s="14"/>
      <c r="E62" s="14"/>
      <c r="F62" s="14"/>
      <c r="G62" s="14"/>
      <c r="H62" s="14"/>
      <c r="I62" s="5"/>
      <c r="J62" s="5"/>
      <c r="K62" s="5"/>
      <c r="L62" s="5"/>
    </row>
    <row r="63" spans="2:12" s="1" customFormat="1">
      <c r="B63" s="17"/>
      <c r="C63" s="17"/>
      <c r="D63" s="14"/>
      <c r="E63" s="14"/>
      <c r="F63" s="14"/>
      <c r="G63" s="14"/>
      <c r="H63" s="14"/>
      <c r="I63" s="5"/>
      <c r="J63" s="5"/>
      <c r="K63" s="5"/>
      <c r="L63" s="5"/>
    </row>
    <row r="64" spans="2:12" s="1" customFormat="1">
      <c r="B64" s="17"/>
      <c r="C64" s="17"/>
      <c r="D64" s="14"/>
      <c r="E64" s="14"/>
      <c r="F64" s="14"/>
      <c r="G64" s="14"/>
      <c r="H64" s="14"/>
      <c r="I64" s="5"/>
      <c r="J64" s="5"/>
      <c r="K64" s="5"/>
      <c r="L64" s="5"/>
    </row>
    <row r="65" spans="2:12" s="1" customFormat="1">
      <c r="B65" s="17"/>
      <c r="C65" s="17"/>
      <c r="D65" s="14"/>
      <c r="E65" s="14"/>
      <c r="F65" s="14"/>
      <c r="G65" s="14"/>
      <c r="H65" s="14"/>
      <c r="I65" s="5"/>
      <c r="J65" s="5"/>
      <c r="K65" s="5"/>
      <c r="L65" s="5"/>
    </row>
    <row r="66" spans="2:12" s="1" customFormat="1">
      <c r="B66" s="17"/>
      <c r="C66" s="17"/>
      <c r="D66" s="14"/>
      <c r="E66" s="14"/>
      <c r="F66" s="14"/>
      <c r="G66" s="14"/>
      <c r="H66" s="14"/>
      <c r="I66" s="5"/>
      <c r="J66" s="5"/>
      <c r="K66" s="5"/>
      <c r="L66" s="5"/>
    </row>
    <row r="67" spans="2:12" s="1" customFormat="1">
      <c r="B67" s="17"/>
      <c r="C67" s="17"/>
      <c r="D67" s="14"/>
      <c r="E67" s="14"/>
      <c r="F67" s="14"/>
      <c r="G67" s="14"/>
      <c r="H67" s="14"/>
      <c r="I67" s="5"/>
      <c r="J67" s="5"/>
      <c r="K67" s="5"/>
      <c r="L67" s="5"/>
    </row>
    <row r="68" spans="2:12" s="1" customFormat="1">
      <c r="B68" s="17"/>
      <c r="C68" s="17"/>
      <c r="D68" s="14"/>
      <c r="E68" s="14"/>
      <c r="F68" s="14"/>
      <c r="G68" s="14"/>
      <c r="H68" s="14"/>
      <c r="I68" s="5"/>
      <c r="J68" s="5"/>
      <c r="K68" s="5"/>
      <c r="L68" s="5"/>
    </row>
    <row r="69" spans="2:12" s="1" customFormat="1">
      <c r="B69" s="17"/>
      <c r="C69" s="17"/>
      <c r="D69" s="14"/>
      <c r="E69" s="14"/>
      <c r="F69" s="14"/>
      <c r="G69" s="14"/>
      <c r="H69" s="14"/>
      <c r="I69" s="5"/>
      <c r="J69" s="5"/>
      <c r="K69" s="5"/>
      <c r="L69" s="5"/>
    </row>
    <row r="70" spans="2:12" s="1" customFormat="1">
      <c r="B70" s="17"/>
      <c r="C70" s="17"/>
      <c r="D70" s="14"/>
      <c r="E70" s="14"/>
      <c r="F70" s="14"/>
      <c r="G70" s="14"/>
      <c r="H70" s="14"/>
      <c r="I70" s="5"/>
      <c r="J70" s="5"/>
      <c r="K70" s="5"/>
      <c r="L70" s="5"/>
    </row>
    <row r="71" spans="2:12" s="1" customFormat="1">
      <c r="B71" s="17"/>
      <c r="C71" s="17"/>
      <c r="D71" s="14"/>
      <c r="E71" s="14"/>
      <c r="F71" s="14"/>
      <c r="G71" s="14"/>
      <c r="H71" s="14"/>
      <c r="I71" s="5"/>
      <c r="J71" s="5"/>
      <c r="K71" s="5"/>
      <c r="L71" s="5"/>
    </row>
    <row r="72" spans="2:12" s="1" customFormat="1">
      <c r="B72" s="17"/>
      <c r="C72" s="17"/>
      <c r="D72" s="14"/>
      <c r="E72" s="14"/>
      <c r="F72" s="14"/>
      <c r="G72" s="14"/>
      <c r="H72" s="14"/>
      <c r="I72" s="5"/>
      <c r="J72" s="5"/>
      <c r="K72" s="5"/>
      <c r="L72" s="5"/>
    </row>
    <row r="73" spans="2:12" s="1" customFormat="1">
      <c r="B73" s="17"/>
      <c r="C73" s="17"/>
      <c r="D73" s="14"/>
      <c r="E73" s="14"/>
      <c r="F73" s="14"/>
      <c r="G73" s="14"/>
      <c r="H73" s="14"/>
      <c r="I73" s="5"/>
      <c r="J73" s="5"/>
      <c r="K73" s="5"/>
      <c r="L73" s="5"/>
    </row>
    <row r="74" spans="2:12" s="1" customFormat="1">
      <c r="B74" s="17"/>
      <c r="C74" s="17"/>
      <c r="D74" s="14"/>
      <c r="E74" s="14"/>
      <c r="F74" s="14"/>
      <c r="G74" s="14"/>
      <c r="H74" s="14"/>
      <c r="I74" s="5"/>
      <c r="J74" s="5"/>
      <c r="K74" s="5"/>
      <c r="L74" s="5"/>
    </row>
    <row r="75" spans="2:12" s="1" customFormat="1">
      <c r="B75" s="17"/>
      <c r="C75" s="17"/>
      <c r="D75" s="14"/>
      <c r="E75" s="14"/>
      <c r="F75" s="14"/>
      <c r="G75" s="14"/>
      <c r="H75" s="14"/>
      <c r="I75" s="5"/>
      <c r="J75" s="5"/>
      <c r="K75" s="5"/>
      <c r="L75" s="5"/>
    </row>
    <row r="76" spans="2:12" s="1" customFormat="1">
      <c r="B76" s="17"/>
      <c r="C76" s="17"/>
      <c r="D76" s="14"/>
      <c r="E76" s="14"/>
      <c r="F76" s="14"/>
      <c r="G76" s="14"/>
      <c r="H76" s="14"/>
      <c r="I76" s="5"/>
      <c r="J76" s="5"/>
      <c r="K76" s="5"/>
      <c r="L76" s="5"/>
    </row>
    <row r="77" spans="2:12" s="1" customFormat="1">
      <c r="B77" s="17"/>
      <c r="C77" s="17"/>
      <c r="D77" s="14"/>
      <c r="E77" s="14"/>
      <c r="F77" s="14"/>
      <c r="G77" s="14"/>
      <c r="H77" s="14"/>
      <c r="I77" s="5"/>
      <c r="J77" s="5"/>
      <c r="K77" s="5"/>
      <c r="L77" s="5"/>
    </row>
    <row r="78" spans="2:12" s="1" customFormat="1">
      <c r="B78" s="17"/>
      <c r="C78" s="17"/>
      <c r="D78" s="14"/>
      <c r="E78" s="14"/>
      <c r="F78" s="14"/>
      <c r="G78" s="14"/>
      <c r="H78" s="14"/>
      <c r="I78" s="5"/>
      <c r="J78" s="5"/>
      <c r="K78" s="5"/>
      <c r="L78" s="5"/>
    </row>
    <row r="79" spans="2:12" s="1" customFormat="1">
      <c r="B79" s="17"/>
      <c r="C79" s="17"/>
      <c r="D79" s="14"/>
      <c r="E79" s="14"/>
      <c r="F79" s="14"/>
      <c r="G79" s="14"/>
      <c r="H79" s="14"/>
      <c r="I79" s="5"/>
      <c r="J79" s="5"/>
      <c r="K79" s="5"/>
      <c r="L79" s="5"/>
    </row>
    <row r="80" spans="2:12" s="1" customFormat="1">
      <c r="B80" s="17"/>
      <c r="C80" s="17"/>
      <c r="D80" s="14"/>
      <c r="E80" s="14"/>
      <c r="F80" s="14"/>
      <c r="G80" s="14"/>
      <c r="H80" s="14"/>
      <c r="I80" s="5"/>
      <c r="J80" s="5"/>
      <c r="K80" s="5"/>
      <c r="L80" s="5"/>
    </row>
    <row r="81" spans="2:12" s="1" customFormat="1">
      <c r="B81" s="17"/>
      <c r="C81" s="17"/>
      <c r="D81" s="14"/>
      <c r="E81" s="14"/>
      <c r="F81" s="14"/>
      <c r="G81" s="14"/>
      <c r="H81" s="14"/>
      <c r="I81" s="5"/>
      <c r="J81" s="5"/>
      <c r="K81" s="5"/>
      <c r="L81" s="5"/>
    </row>
    <row r="82" spans="2:12" s="1" customFormat="1">
      <c r="B82" s="17"/>
      <c r="C82" s="17"/>
      <c r="D82" s="14"/>
      <c r="E82" s="14"/>
      <c r="F82" s="14"/>
      <c r="G82" s="14"/>
      <c r="H82" s="14"/>
      <c r="I82" s="5"/>
      <c r="J82" s="5"/>
      <c r="K82" s="5"/>
      <c r="L82" s="5"/>
    </row>
    <row r="83" spans="2:12" s="1" customFormat="1">
      <c r="B83" s="17"/>
      <c r="C83" s="17"/>
      <c r="D83" s="14"/>
      <c r="E83" s="14"/>
      <c r="F83" s="14"/>
      <c r="G83" s="14"/>
      <c r="H83" s="14"/>
      <c r="I83" s="5"/>
      <c r="J83" s="5"/>
      <c r="K83" s="5"/>
      <c r="L83" s="5"/>
    </row>
    <row r="84" spans="2:12" s="1" customFormat="1">
      <c r="B84" s="17"/>
      <c r="C84" s="17"/>
      <c r="D84" s="14"/>
      <c r="E84" s="14"/>
      <c r="F84" s="14"/>
      <c r="G84" s="14"/>
      <c r="H84" s="14"/>
      <c r="I84" s="5"/>
      <c r="J84" s="5"/>
      <c r="K84" s="5"/>
      <c r="L84" s="5"/>
    </row>
    <row r="85" spans="2:12" s="1" customFormat="1">
      <c r="B85" s="17"/>
      <c r="C85" s="17"/>
      <c r="D85" s="14"/>
      <c r="E85" s="14"/>
      <c r="F85" s="14"/>
      <c r="G85" s="14"/>
      <c r="H85" s="14"/>
      <c r="I85" s="5"/>
      <c r="J85" s="5"/>
      <c r="K85" s="5"/>
      <c r="L85" s="5"/>
    </row>
    <row r="86" spans="2:12" s="1" customFormat="1">
      <c r="B86" s="17"/>
      <c r="C86" s="17"/>
      <c r="D86" s="14"/>
      <c r="E86" s="14"/>
      <c r="F86" s="14"/>
      <c r="G86" s="14"/>
      <c r="H86" s="14"/>
      <c r="I86" s="5"/>
      <c r="J86" s="5"/>
      <c r="K86" s="5"/>
      <c r="L86" s="5"/>
    </row>
    <row r="87" spans="2:12" s="1" customFormat="1">
      <c r="B87" s="17"/>
      <c r="C87" s="17"/>
      <c r="D87" s="14"/>
      <c r="E87" s="14"/>
      <c r="F87" s="14"/>
      <c r="G87" s="14"/>
      <c r="H87" s="14"/>
      <c r="I87" s="5"/>
      <c r="J87" s="5"/>
      <c r="K87" s="5"/>
      <c r="L87" s="5"/>
    </row>
    <row r="88" spans="2:12" s="1" customFormat="1">
      <c r="B88" s="17"/>
      <c r="C88" s="17"/>
      <c r="D88" s="14"/>
      <c r="E88" s="14"/>
      <c r="F88" s="14"/>
      <c r="G88" s="14"/>
      <c r="H88" s="14"/>
      <c r="I88" s="5"/>
      <c r="J88" s="5"/>
      <c r="K88" s="5"/>
      <c r="L88" s="5"/>
    </row>
    <row r="89" spans="2:12" s="1" customFormat="1">
      <c r="B89" s="17"/>
      <c r="C89" s="17"/>
      <c r="D89" s="14"/>
      <c r="E89" s="14"/>
      <c r="F89" s="14"/>
      <c r="G89" s="14"/>
      <c r="H89" s="14"/>
      <c r="I89" s="5"/>
      <c r="J89" s="5"/>
      <c r="K89" s="5"/>
      <c r="L89" s="5"/>
    </row>
    <row r="90" spans="2:12" s="1" customFormat="1">
      <c r="B90" s="17"/>
      <c r="C90" s="17"/>
      <c r="D90" s="14"/>
      <c r="E90" s="14"/>
      <c r="F90" s="14"/>
      <c r="G90" s="14"/>
      <c r="H90" s="14"/>
      <c r="I90" s="5"/>
      <c r="J90" s="5"/>
      <c r="K90" s="5"/>
      <c r="L90" s="5"/>
    </row>
    <row r="91" spans="2:12" s="1" customFormat="1">
      <c r="B91" s="17"/>
      <c r="C91" s="17"/>
      <c r="D91" s="14"/>
      <c r="E91" s="14"/>
      <c r="F91" s="14"/>
      <c r="G91" s="14"/>
      <c r="H91" s="14"/>
      <c r="I91" s="5"/>
      <c r="J91" s="5"/>
      <c r="K91" s="5"/>
      <c r="L91" s="5"/>
    </row>
    <row r="92" spans="2:12" s="1" customFormat="1">
      <c r="B92" s="17"/>
      <c r="C92" s="17"/>
      <c r="D92" s="14"/>
      <c r="E92" s="14"/>
      <c r="F92" s="14"/>
      <c r="G92" s="14"/>
      <c r="H92" s="14"/>
      <c r="I92" s="5"/>
      <c r="J92" s="5"/>
      <c r="K92" s="5"/>
      <c r="L92" s="5"/>
    </row>
    <row r="93" spans="2:12" s="1" customFormat="1">
      <c r="B93" s="17"/>
      <c r="C93" s="17"/>
      <c r="D93" s="14"/>
      <c r="E93" s="14"/>
      <c r="F93" s="14"/>
      <c r="G93" s="14"/>
      <c r="H93" s="14"/>
      <c r="I93" s="5"/>
      <c r="J93" s="5"/>
      <c r="K93" s="5"/>
      <c r="L93" s="5"/>
    </row>
    <row r="94" spans="2:12" s="1" customFormat="1">
      <c r="B94" s="17"/>
      <c r="C94" s="17"/>
      <c r="D94" s="14"/>
      <c r="E94" s="14"/>
      <c r="F94" s="14"/>
      <c r="G94" s="14"/>
      <c r="H94" s="14"/>
      <c r="I94" s="5"/>
      <c r="J94" s="5"/>
      <c r="K94" s="5"/>
      <c r="L94" s="5"/>
    </row>
    <row r="95" spans="2:12" s="1" customFormat="1">
      <c r="B95" s="17"/>
      <c r="C95" s="17"/>
      <c r="D95" s="14"/>
      <c r="E95" s="14"/>
      <c r="F95" s="14"/>
      <c r="G95" s="14"/>
      <c r="H95" s="14"/>
      <c r="I95" s="5"/>
      <c r="J95" s="5"/>
      <c r="K95" s="5"/>
      <c r="L95" s="5"/>
    </row>
    <row r="96" spans="2:12" s="1" customFormat="1">
      <c r="B96" s="17"/>
      <c r="C96" s="17"/>
      <c r="D96" s="14"/>
      <c r="E96" s="14"/>
      <c r="F96" s="14"/>
      <c r="G96" s="14"/>
      <c r="H96" s="14"/>
      <c r="I96" s="5"/>
      <c r="J96" s="5"/>
      <c r="K96" s="5"/>
      <c r="L96" s="5"/>
    </row>
    <row r="97" spans="2:14" s="1" customFormat="1">
      <c r="B97" s="17"/>
      <c r="C97" s="17"/>
      <c r="D97" s="14"/>
      <c r="E97" s="14"/>
      <c r="F97" s="14"/>
      <c r="G97" s="14"/>
      <c r="H97" s="14"/>
      <c r="I97" s="5"/>
      <c r="J97" s="5"/>
      <c r="K97" s="5"/>
      <c r="L97" s="5"/>
    </row>
    <row r="98" spans="2:14" s="1" customFormat="1">
      <c r="B98" s="17"/>
      <c r="C98" s="17"/>
      <c r="D98" s="14"/>
      <c r="E98" s="14"/>
      <c r="F98" s="14"/>
      <c r="G98" s="14"/>
      <c r="H98" s="14"/>
      <c r="I98" s="5"/>
      <c r="J98" s="5"/>
      <c r="K98" s="5"/>
      <c r="L98" s="5"/>
    </row>
    <row r="99" spans="2:14" s="1" customFormat="1">
      <c r="B99" s="17"/>
      <c r="C99" s="17"/>
      <c r="D99" s="14"/>
      <c r="E99" s="14"/>
      <c r="F99" s="14"/>
      <c r="G99" s="14"/>
      <c r="H99" s="14"/>
      <c r="I99" s="5"/>
      <c r="J99" s="5"/>
      <c r="K99" s="5"/>
      <c r="L99" s="5"/>
    </row>
    <row r="100" spans="2:14" s="1" customFormat="1">
      <c r="B100" s="17"/>
      <c r="C100" s="17"/>
      <c r="D100" s="14"/>
      <c r="E100" s="14"/>
      <c r="F100" s="14"/>
      <c r="G100" s="14"/>
      <c r="H100" s="14"/>
      <c r="I100" s="5"/>
      <c r="J100" s="5"/>
      <c r="K100" s="5"/>
      <c r="L100" s="5"/>
      <c r="N100" s="21"/>
    </row>
    <row r="101" spans="2:14" s="1" customFormat="1">
      <c r="B101" s="17"/>
      <c r="C101" s="17"/>
      <c r="D101" s="14"/>
      <c r="E101" s="14"/>
      <c r="F101" s="14"/>
      <c r="G101" s="14"/>
      <c r="H101" s="14"/>
      <c r="I101" s="5"/>
      <c r="J101" s="5"/>
      <c r="K101" s="5"/>
      <c r="L101" s="5"/>
    </row>
    <row r="102" spans="2:14" s="1" customFormat="1">
      <c r="B102" s="17"/>
      <c r="C102" s="17"/>
      <c r="D102" s="14"/>
      <c r="E102" s="14"/>
      <c r="F102" s="14"/>
      <c r="G102" s="14"/>
      <c r="H102" s="14"/>
      <c r="I102" s="5"/>
      <c r="J102" s="5"/>
      <c r="K102" s="5"/>
      <c r="L102" s="5"/>
    </row>
    <row r="103" spans="2:14" s="1" customFormat="1">
      <c r="B103" s="17"/>
      <c r="C103" s="17"/>
      <c r="D103" s="14"/>
      <c r="E103" s="14"/>
      <c r="F103" s="14"/>
      <c r="G103" s="14"/>
      <c r="H103" s="14"/>
      <c r="I103" s="5"/>
      <c r="J103" s="5"/>
      <c r="K103" s="5"/>
      <c r="L103" s="5"/>
    </row>
    <row r="104" spans="2:14" s="1" customFormat="1">
      <c r="B104" s="17"/>
      <c r="C104" s="17"/>
      <c r="D104" s="14"/>
      <c r="E104" s="14"/>
      <c r="F104" s="14"/>
      <c r="G104" s="14"/>
      <c r="H104" s="14"/>
      <c r="I104" s="5"/>
      <c r="J104" s="5"/>
      <c r="K104" s="5"/>
      <c r="L104" s="5"/>
    </row>
    <row r="105" spans="2:14" s="1" customFormat="1">
      <c r="B105" s="17"/>
      <c r="C105" s="17"/>
      <c r="D105" s="14"/>
      <c r="E105" s="14"/>
      <c r="F105" s="14"/>
      <c r="G105" s="14"/>
      <c r="H105" s="14"/>
      <c r="I105" s="5"/>
      <c r="J105" s="5"/>
      <c r="K105" s="5"/>
      <c r="L105" s="5"/>
    </row>
    <row r="106" spans="2:14" s="1" customFormat="1">
      <c r="B106" s="17"/>
      <c r="C106" s="17"/>
      <c r="D106" s="14"/>
      <c r="E106" s="14"/>
      <c r="F106" s="14"/>
      <c r="G106" s="14"/>
      <c r="H106" s="14"/>
      <c r="I106" s="5"/>
      <c r="J106" s="5"/>
      <c r="K106" s="5"/>
      <c r="L106" s="5"/>
    </row>
    <row r="107" spans="2:14" s="1" customFormat="1">
      <c r="B107" s="17"/>
      <c r="C107" s="17"/>
      <c r="D107" s="14"/>
      <c r="E107" s="14"/>
      <c r="F107" s="14"/>
      <c r="G107" s="14"/>
      <c r="H107" s="14"/>
      <c r="I107" s="5"/>
      <c r="J107" s="5"/>
      <c r="K107" s="5"/>
      <c r="L107" s="5"/>
    </row>
    <row r="108" spans="2:14" s="1" customFormat="1">
      <c r="B108" s="17"/>
      <c r="C108" s="17"/>
      <c r="D108" s="14"/>
      <c r="E108" s="14"/>
      <c r="F108" s="14"/>
      <c r="G108" s="14"/>
      <c r="H108" s="14"/>
      <c r="I108" s="5"/>
      <c r="J108" s="5"/>
      <c r="K108" s="5"/>
      <c r="L108" s="5"/>
    </row>
    <row r="109" spans="2:14" s="1" customFormat="1">
      <c r="B109" s="17"/>
      <c r="C109" s="17"/>
      <c r="D109" s="14"/>
      <c r="E109" s="14"/>
      <c r="F109" s="14"/>
      <c r="G109" s="14"/>
      <c r="H109" s="14"/>
      <c r="I109" s="5"/>
      <c r="J109" s="5"/>
      <c r="K109" s="5"/>
      <c r="L109" s="5"/>
    </row>
    <row r="110" spans="2:14" s="1" customFormat="1">
      <c r="B110" s="17"/>
      <c r="C110" s="17"/>
      <c r="D110" s="14"/>
      <c r="E110" s="14"/>
      <c r="F110" s="14"/>
      <c r="G110" s="14"/>
      <c r="H110" s="14"/>
      <c r="I110" s="5"/>
      <c r="J110" s="5"/>
      <c r="K110" s="5"/>
      <c r="L110" s="5"/>
    </row>
    <row r="111" spans="2:14" s="1" customFormat="1">
      <c r="B111" s="17"/>
      <c r="C111" s="17"/>
      <c r="D111" s="14"/>
      <c r="E111" s="14"/>
      <c r="F111" s="14"/>
      <c r="G111" s="14"/>
      <c r="H111" s="14"/>
      <c r="I111" s="5"/>
      <c r="J111" s="5"/>
      <c r="K111" s="5"/>
      <c r="L111" s="5"/>
    </row>
    <row r="112" spans="2:14" s="1" customFormat="1">
      <c r="B112" s="17"/>
      <c r="C112" s="17"/>
      <c r="D112" s="14"/>
      <c r="E112" s="14"/>
      <c r="F112" s="14"/>
      <c r="G112" s="14"/>
      <c r="H112" s="14"/>
      <c r="I112" s="5"/>
      <c r="J112" s="5"/>
      <c r="K112" s="5"/>
      <c r="L112" s="5"/>
    </row>
    <row r="113" spans="2:12" s="1" customFormat="1">
      <c r="B113" s="17"/>
      <c r="C113" s="17"/>
      <c r="D113" s="14"/>
      <c r="E113" s="14"/>
      <c r="F113" s="14"/>
      <c r="G113" s="14"/>
      <c r="H113" s="14"/>
      <c r="I113" s="5"/>
      <c r="J113" s="5"/>
      <c r="K113" s="5"/>
      <c r="L113" s="5"/>
    </row>
    <row r="114" spans="2:12" s="1" customFormat="1">
      <c r="B114" s="17"/>
      <c r="C114" s="17"/>
      <c r="D114" s="14"/>
      <c r="E114" s="14"/>
      <c r="F114" s="14"/>
      <c r="G114" s="14"/>
      <c r="H114" s="14"/>
      <c r="I114" s="5"/>
      <c r="J114" s="5"/>
      <c r="K114" s="5"/>
      <c r="L114" s="5"/>
    </row>
    <row r="115" spans="2:12" s="1" customFormat="1">
      <c r="B115" s="17"/>
      <c r="C115" s="17"/>
      <c r="D115" s="14"/>
      <c r="E115" s="14"/>
      <c r="F115" s="14"/>
      <c r="G115" s="14"/>
      <c r="H115" s="14"/>
      <c r="I115" s="5"/>
      <c r="J115" s="5"/>
      <c r="K115" s="5"/>
      <c r="L115" s="5"/>
    </row>
    <row r="116" spans="2:12" s="1" customFormat="1">
      <c r="B116" s="17"/>
      <c r="C116" s="17"/>
      <c r="D116" s="14"/>
      <c r="E116" s="14"/>
      <c r="F116" s="14"/>
      <c r="G116" s="14"/>
      <c r="H116" s="14"/>
      <c r="I116" s="5"/>
      <c r="J116" s="5"/>
      <c r="K116" s="5"/>
      <c r="L116" s="5"/>
    </row>
    <row r="117" spans="2:12" s="1" customFormat="1">
      <c r="B117" s="17"/>
      <c r="C117" s="17"/>
      <c r="D117" s="14"/>
      <c r="E117" s="14"/>
      <c r="F117" s="14"/>
      <c r="G117" s="14"/>
      <c r="H117" s="14"/>
      <c r="I117" s="5"/>
      <c r="J117" s="5"/>
      <c r="K117" s="5"/>
      <c r="L117" s="5"/>
    </row>
    <row r="118" spans="2:12" s="1" customFormat="1">
      <c r="B118" s="17"/>
      <c r="C118" s="17"/>
      <c r="D118" s="14"/>
      <c r="E118" s="14"/>
      <c r="F118" s="14"/>
      <c r="G118" s="14"/>
      <c r="H118" s="14"/>
      <c r="I118" s="5"/>
      <c r="J118" s="5"/>
      <c r="K118" s="5"/>
      <c r="L118" s="5"/>
    </row>
    <row r="119" spans="2:12" s="1" customFormat="1">
      <c r="B119" s="17"/>
      <c r="C119" s="17"/>
      <c r="D119" s="14"/>
      <c r="E119" s="14"/>
      <c r="F119" s="14"/>
      <c r="G119" s="14"/>
      <c r="H119" s="14"/>
      <c r="I119" s="5"/>
      <c r="J119" s="5"/>
      <c r="K119" s="5"/>
      <c r="L119" s="5"/>
    </row>
    <row r="120" spans="2:12" s="1" customFormat="1">
      <c r="B120" s="17"/>
      <c r="C120" s="17"/>
      <c r="D120" s="14"/>
      <c r="E120" s="14"/>
      <c r="F120" s="14"/>
      <c r="G120" s="14"/>
      <c r="H120" s="14"/>
      <c r="I120" s="5"/>
      <c r="J120" s="5"/>
      <c r="K120" s="5"/>
      <c r="L120" s="5"/>
    </row>
    <row r="121" spans="2:12" s="1" customFormat="1">
      <c r="B121" s="17"/>
      <c r="C121" s="17"/>
      <c r="D121" s="14"/>
      <c r="E121" s="14"/>
      <c r="F121" s="14"/>
      <c r="G121" s="14"/>
      <c r="H121" s="14"/>
      <c r="I121" s="5"/>
      <c r="J121" s="5"/>
      <c r="K121" s="5"/>
      <c r="L121" s="5"/>
    </row>
    <row r="122" spans="2:12" s="1" customFormat="1">
      <c r="B122" s="17"/>
      <c r="C122" s="17"/>
      <c r="D122" s="14"/>
      <c r="E122" s="14"/>
      <c r="F122" s="14"/>
      <c r="G122" s="14"/>
      <c r="H122" s="14"/>
      <c r="I122" s="5"/>
      <c r="J122" s="5"/>
      <c r="K122" s="5"/>
      <c r="L122" s="5"/>
    </row>
    <row r="123" spans="2:12" s="1" customFormat="1">
      <c r="B123" s="17"/>
      <c r="C123" s="17"/>
      <c r="D123" s="14"/>
      <c r="E123" s="14"/>
      <c r="F123" s="14"/>
      <c r="G123" s="14"/>
      <c r="H123" s="14"/>
      <c r="I123" s="5"/>
      <c r="J123" s="5"/>
      <c r="K123" s="5"/>
      <c r="L123" s="5"/>
    </row>
    <row r="124" spans="2:12" s="1" customFormat="1">
      <c r="B124" s="17"/>
      <c r="C124" s="17"/>
      <c r="D124" s="14"/>
      <c r="E124" s="14"/>
      <c r="F124" s="14"/>
      <c r="G124" s="14"/>
      <c r="H124" s="14"/>
      <c r="I124" s="5"/>
      <c r="J124" s="5"/>
      <c r="K124" s="5"/>
      <c r="L124" s="5"/>
    </row>
    <row r="125" spans="2:12" s="1" customFormat="1">
      <c r="B125" s="17"/>
      <c r="C125" s="17"/>
      <c r="D125" s="14"/>
      <c r="E125" s="14"/>
      <c r="F125" s="14"/>
      <c r="G125" s="14"/>
      <c r="H125" s="14"/>
      <c r="I125" s="5"/>
      <c r="J125" s="5"/>
      <c r="K125" s="5"/>
      <c r="L125" s="5"/>
    </row>
    <row r="126" spans="2:12" s="1" customFormat="1">
      <c r="B126" s="17"/>
      <c r="C126" s="17"/>
      <c r="D126" s="14"/>
      <c r="E126" s="14"/>
      <c r="F126" s="14"/>
      <c r="G126" s="14"/>
      <c r="H126" s="14"/>
      <c r="I126" s="5"/>
      <c r="J126" s="5"/>
      <c r="K126" s="5"/>
      <c r="L126" s="5"/>
    </row>
    <row r="127" spans="2:12" s="1" customFormat="1">
      <c r="B127" s="17"/>
      <c r="C127" s="17"/>
      <c r="D127" s="14"/>
      <c r="E127" s="14"/>
      <c r="F127" s="14"/>
      <c r="G127" s="14"/>
      <c r="H127" s="14"/>
      <c r="I127" s="5"/>
      <c r="J127" s="5"/>
      <c r="K127" s="5"/>
      <c r="L127" s="5"/>
    </row>
    <row r="128" spans="2:12" s="1" customFormat="1">
      <c r="B128" s="17"/>
      <c r="C128" s="17"/>
      <c r="D128" s="14"/>
      <c r="E128" s="14"/>
      <c r="F128" s="14"/>
      <c r="G128" s="14"/>
      <c r="H128" s="14"/>
      <c r="I128" s="5"/>
      <c r="J128" s="5"/>
      <c r="K128" s="5"/>
      <c r="L128" s="5"/>
    </row>
    <row r="129" spans="2:12" s="1" customFormat="1">
      <c r="B129" s="17"/>
      <c r="C129" s="17"/>
      <c r="D129" s="14"/>
      <c r="E129" s="14"/>
      <c r="F129" s="14"/>
      <c r="G129" s="14"/>
      <c r="H129" s="14"/>
      <c r="I129" s="5"/>
      <c r="J129" s="5"/>
      <c r="K129" s="5"/>
      <c r="L129" s="5"/>
    </row>
    <row r="130" spans="2:12" s="1" customFormat="1">
      <c r="B130" s="17"/>
      <c r="C130" s="17"/>
      <c r="D130" s="14"/>
      <c r="E130" s="14"/>
      <c r="F130" s="14"/>
      <c r="G130" s="14"/>
      <c r="H130" s="14"/>
      <c r="I130" s="5"/>
      <c r="J130" s="5"/>
      <c r="K130" s="5"/>
      <c r="L130" s="5"/>
    </row>
    <row r="131" spans="2:12" s="1" customFormat="1">
      <c r="B131" s="17"/>
      <c r="C131" s="17"/>
      <c r="D131" s="14"/>
      <c r="E131" s="14"/>
      <c r="F131" s="14"/>
      <c r="G131" s="14"/>
      <c r="H131" s="14"/>
      <c r="I131" s="5"/>
      <c r="J131" s="5"/>
      <c r="K131" s="5"/>
      <c r="L131" s="5"/>
    </row>
    <row r="132" spans="2:12" s="1" customFormat="1">
      <c r="B132" s="17"/>
      <c r="C132" s="17"/>
      <c r="D132" s="14"/>
      <c r="E132" s="14"/>
      <c r="F132" s="14"/>
      <c r="G132" s="14"/>
      <c r="H132" s="14"/>
      <c r="I132" s="5"/>
      <c r="J132" s="5"/>
      <c r="K132" s="5"/>
      <c r="L132" s="5"/>
    </row>
    <row r="133" spans="2:12" s="1" customFormat="1">
      <c r="B133" s="17"/>
      <c r="C133" s="17"/>
      <c r="D133" s="14"/>
      <c r="E133" s="14"/>
      <c r="F133" s="14"/>
      <c r="G133" s="14"/>
      <c r="H133" s="14"/>
      <c r="I133" s="5"/>
      <c r="J133" s="5"/>
      <c r="K133" s="5"/>
      <c r="L133" s="5"/>
    </row>
    <row r="134" spans="2:12" s="1" customFormat="1">
      <c r="B134" s="17"/>
      <c r="C134" s="17"/>
      <c r="D134" s="14"/>
      <c r="E134" s="14"/>
      <c r="F134" s="14"/>
      <c r="G134" s="14"/>
      <c r="H134" s="14"/>
      <c r="I134" s="5"/>
      <c r="J134" s="5"/>
      <c r="K134" s="5"/>
      <c r="L134" s="5"/>
    </row>
    <row r="135" spans="2:12" s="1" customFormat="1">
      <c r="B135" s="17"/>
      <c r="C135" s="17"/>
      <c r="D135" s="14"/>
      <c r="E135" s="14"/>
      <c r="F135" s="14"/>
      <c r="G135" s="14"/>
      <c r="H135" s="14"/>
      <c r="I135" s="5"/>
      <c r="J135" s="5"/>
      <c r="K135" s="5"/>
      <c r="L135" s="5"/>
    </row>
    <row r="136" spans="2:12" s="1" customFormat="1">
      <c r="B136" s="17"/>
      <c r="C136" s="17"/>
      <c r="D136" s="14"/>
      <c r="E136" s="14"/>
      <c r="F136" s="14"/>
      <c r="G136" s="14"/>
      <c r="H136" s="14"/>
      <c r="I136" s="5"/>
      <c r="J136" s="5"/>
      <c r="K136" s="5"/>
      <c r="L136" s="5"/>
    </row>
    <row r="137" spans="2:12" s="1" customFormat="1">
      <c r="B137" s="17"/>
      <c r="C137" s="17"/>
      <c r="D137" s="14"/>
      <c r="E137" s="14"/>
      <c r="F137" s="14"/>
      <c r="G137" s="14"/>
      <c r="H137" s="14"/>
      <c r="I137" s="5"/>
      <c r="J137" s="5"/>
      <c r="K137" s="5"/>
      <c r="L137" s="5"/>
    </row>
    <row r="138" spans="2:12" s="1" customFormat="1">
      <c r="B138" s="17"/>
      <c r="C138" s="17"/>
      <c r="D138" s="14"/>
      <c r="E138" s="14"/>
      <c r="F138" s="14"/>
      <c r="G138" s="14"/>
      <c r="H138" s="14"/>
      <c r="I138" s="5"/>
      <c r="J138" s="5"/>
      <c r="K138" s="5"/>
      <c r="L138" s="5"/>
    </row>
    <row r="139" spans="2:12" s="1" customFormat="1">
      <c r="B139" s="17"/>
      <c r="C139" s="17"/>
      <c r="D139" s="14"/>
      <c r="E139" s="14"/>
      <c r="F139" s="14"/>
      <c r="G139" s="14"/>
      <c r="H139" s="14"/>
      <c r="I139" s="5"/>
      <c r="J139" s="5"/>
      <c r="K139" s="5"/>
      <c r="L139" s="5"/>
    </row>
    <row r="140" spans="2:12" s="1" customFormat="1">
      <c r="B140" s="17"/>
      <c r="C140" s="17"/>
      <c r="D140" s="14"/>
      <c r="E140" s="14"/>
      <c r="F140" s="14"/>
      <c r="G140" s="14"/>
      <c r="H140" s="14"/>
      <c r="I140" s="5"/>
      <c r="J140" s="5"/>
      <c r="K140" s="5"/>
      <c r="L140" s="5"/>
    </row>
    <row r="141" spans="2:12" s="1" customFormat="1">
      <c r="B141" s="17"/>
      <c r="C141" s="17"/>
      <c r="D141" s="14"/>
      <c r="E141" s="14"/>
      <c r="F141" s="14"/>
      <c r="G141" s="14"/>
      <c r="H141" s="14"/>
      <c r="I141" s="5"/>
      <c r="J141" s="5"/>
      <c r="K141" s="5"/>
      <c r="L141" s="5"/>
    </row>
    <row r="142" spans="2:12" s="14" customFormat="1">
      <c r="B142" s="17"/>
      <c r="C142" s="17"/>
      <c r="I142" s="5"/>
      <c r="J142" s="5"/>
      <c r="K142" s="5"/>
      <c r="L142" s="5"/>
    </row>
    <row r="143" spans="2:12" s="14" customFormat="1">
      <c r="B143" s="17"/>
      <c r="C143" s="17"/>
      <c r="I143" s="5"/>
      <c r="J143" s="5"/>
      <c r="K143" s="5"/>
      <c r="L143" s="5"/>
    </row>
    <row r="144" spans="2:12" s="14" customFormat="1">
      <c r="B144" s="17"/>
      <c r="C144" s="17"/>
      <c r="I144" s="5"/>
      <c r="J144" s="5"/>
      <c r="K144" s="5"/>
      <c r="L144" s="5"/>
    </row>
    <row r="145" spans="2:12" s="14" customFormat="1">
      <c r="B145" s="17"/>
      <c r="C145" s="17"/>
      <c r="I145" s="5"/>
      <c r="J145" s="5"/>
      <c r="K145" s="5"/>
      <c r="L145" s="5"/>
    </row>
    <row r="146" spans="2:12" s="14" customFormat="1">
      <c r="B146" s="17"/>
      <c r="C146" s="17"/>
      <c r="I146" s="5"/>
      <c r="J146" s="5"/>
      <c r="K146" s="5"/>
      <c r="L146" s="5"/>
    </row>
    <row r="147" spans="2:12" s="14" customFormat="1">
      <c r="B147" s="17"/>
      <c r="C147" s="17"/>
      <c r="I147" s="5"/>
      <c r="J147" s="5"/>
      <c r="K147" s="5"/>
      <c r="L147" s="5"/>
    </row>
    <row r="148" spans="2:12" s="14" customFormat="1">
      <c r="B148" s="17"/>
      <c r="C148" s="17"/>
      <c r="I148" s="5"/>
      <c r="J148" s="5"/>
      <c r="K148" s="5"/>
      <c r="L148" s="5"/>
    </row>
    <row r="149" spans="2:12" s="14" customFormat="1">
      <c r="B149" s="17"/>
      <c r="C149" s="17"/>
      <c r="I149" s="5"/>
      <c r="J149" s="5"/>
      <c r="K149" s="5"/>
      <c r="L149" s="5"/>
    </row>
    <row r="150" spans="2:12" s="14" customFormat="1">
      <c r="B150" s="17"/>
      <c r="C150" s="17"/>
      <c r="I150" s="5"/>
      <c r="J150" s="5"/>
      <c r="K150" s="5"/>
      <c r="L150" s="5"/>
    </row>
    <row r="151" spans="2:12" s="14" customFormat="1">
      <c r="B151" s="17"/>
      <c r="C151" s="17"/>
      <c r="I151" s="5"/>
      <c r="J151" s="5"/>
      <c r="K151" s="5"/>
      <c r="L151" s="5"/>
    </row>
    <row r="152" spans="2:12" s="14" customFormat="1">
      <c r="B152" s="17"/>
      <c r="C152" s="17"/>
      <c r="I152" s="5"/>
      <c r="J152" s="5"/>
      <c r="K152" s="5"/>
      <c r="L152" s="5"/>
    </row>
    <row r="153" spans="2:12" s="14" customFormat="1">
      <c r="B153" s="17"/>
      <c r="C153" s="17"/>
      <c r="I153" s="5"/>
      <c r="J153" s="5"/>
      <c r="K153" s="5"/>
      <c r="L153" s="5"/>
    </row>
    <row r="154" spans="2:12" s="14" customFormat="1">
      <c r="B154" s="17"/>
      <c r="C154" s="17"/>
      <c r="I154" s="5"/>
      <c r="J154" s="5"/>
      <c r="K154" s="5"/>
      <c r="L154" s="5"/>
    </row>
    <row r="155" spans="2:12" s="1" customFormat="1">
      <c r="B155" s="17"/>
      <c r="C155" s="17"/>
      <c r="D155" s="14"/>
      <c r="E155" s="14"/>
      <c r="F155" s="14"/>
      <c r="G155" s="14"/>
      <c r="H155" s="14"/>
      <c r="I155" s="5"/>
      <c r="J155" s="5"/>
      <c r="K155" s="5"/>
      <c r="L155" s="5"/>
    </row>
    <row r="156" spans="2:12" s="1" customFormat="1">
      <c r="B156" s="17"/>
      <c r="C156" s="17"/>
      <c r="D156" s="14"/>
      <c r="E156" s="14"/>
      <c r="F156" s="14"/>
      <c r="G156" s="14"/>
      <c r="H156" s="14"/>
      <c r="I156" s="5"/>
      <c r="J156" s="5"/>
      <c r="K156" s="5"/>
      <c r="L156" s="5"/>
    </row>
    <row r="157" spans="2:12" s="1" customFormat="1">
      <c r="B157" s="17"/>
      <c r="C157" s="17"/>
      <c r="D157" s="14"/>
      <c r="E157" s="14"/>
      <c r="F157" s="14"/>
      <c r="G157" s="14"/>
      <c r="H157" s="14"/>
      <c r="I157" s="5"/>
      <c r="J157" s="5"/>
      <c r="K157" s="5"/>
      <c r="L157" s="5"/>
    </row>
    <row r="158" spans="2:12" s="1" customFormat="1">
      <c r="B158" s="17"/>
      <c r="C158" s="17"/>
      <c r="D158" s="14"/>
      <c r="E158" s="14"/>
      <c r="F158" s="14"/>
      <c r="G158" s="14"/>
      <c r="H158" s="14"/>
      <c r="I158" s="5"/>
      <c r="J158" s="5"/>
      <c r="K158" s="5"/>
      <c r="L158" s="5"/>
    </row>
    <row r="159" spans="2:12" s="1" customFormat="1">
      <c r="B159" s="17"/>
      <c r="C159" s="17"/>
      <c r="D159" s="14"/>
      <c r="E159" s="14"/>
      <c r="F159" s="14"/>
      <c r="G159" s="14"/>
      <c r="H159" s="14"/>
      <c r="I159" s="5"/>
      <c r="J159" s="5"/>
      <c r="K159" s="5"/>
      <c r="L159" s="5"/>
    </row>
    <row r="160" spans="2:12" s="1" customFormat="1">
      <c r="B160" s="17"/>
      <c r="C160" s="17"/>
      <c r="D160" s="14"/>
      <c r="E160" s="14"/>
      <c r="F160" s="14"/>
      <c r="G160" s="14"/>
      <c r="H160" s="14"/>
      <c r="I160" s="5"/>
      <c r="J160" s="5"/>
      <c r="K160" s="5"/>
      <c r="L160" s="5"/>
    </row>
    <row r="161" spans="2:12" s="1" customFormat="1">
      <c r="B161" s="17"/>
      <c r="C161" s="17"/>
      <c r="D161" s="14"/>
      <c r="E161" s="14"/>
      <c r="F161" s="14"/>
      <c r="G161" s="14"/>
      <c r="H161" s="14"/>
      <c r="I161" s="5"/>
      <c r="J161" s="5"/>
      <c r="K161" s="5"/>
      <c r="L161" s="5"/>
    </row>
    <row r="162" spans="2:12" s="1" customFormat="1">
      <c r="B162" s="17"/>
      <c r="C162" s="17"/>
      <c r="D162" s="14"/>
      <c r="E162" s="14"/>
      <c r="F162" s="14"/>
      <c r="G162" s="14"/>
      <c r="H162" s="14"/>
      <c r="I162" s="5"/>
      <c r="J162" s="5"/>
      <c r="K162" s="5"/>
      <c r="L162" s="5"/>
    </row>
    <row r="163" spans="2:12" s="1" customFormat="1">
      <c r="B163" s="17"/>
      <c r="C163" s="17"/>
      <c r="D163" s="14"/>
      <c r="E163" s="14"/>
      <c r="F163" s="14"/>
      <c r="G163" s="14"/>
      <c r="H163" s="14"/>
      <c r="I163" s="5"/>
      <c r="J163" s="5"/>
      <c r="K163" s="5"/>
      <c r="L163" s="5"/>
    </row>
    <row r="164" spans="2:12" s="1" customFormat="1">
      <c r="B164" s="17"/>
      <c r="C164" s="17"/>
      <c r="D164" s="14"/>
      <c r="E164" s="14"/>
      <c r="F164" s="14"/>
      <c r="G164" s="14"/>
      <c r="H164" s="14"/>
      <c r="I164" s="5"/>
      <c r="J164" s="5"/>
      <c r="K164" s="5"/>
      <c r="L164" s="5"/>
    </row>
    <row r="165" spans="2:12" s="1" customFormat="1">
      <c r="B165" s="17"/>
      <c r="C165" s="17"/>
      <c r="D165" s="14"/>
      <c r="E165" s="14"/>
      <c r="F165" s="14"/>
      <c r="G165" s="14"/>
      <c r="H165" s="14"/>
      <c r="I165" s="5"/>
      <c r="J165" s="5"/>
      <c r="K165" s="5"/>
      <c r="L165" s="5"/>
    </row>
    <row r="166" spans="2:12" s="1" customFormat="1">
      <c r="B166" s="17"/>
      <c r="C166" s="17"/>
      <c r="D166" s="14"/>
      <c r="E166" s="14"/>
      <c r="F166" s="14"/>
      <c r="G166" s="14"/>
      <c r="H166" s="14"/>
      <c r="I166" s="5"/>
      <c r="J166" s="5"/>
      <c r="K166" s="5"/>
      <c r="L166" s="5"/>
    </row>
    <row r="180" spans="2:12" s="1" customFormat="1" ht="21">
      <c r="B180" s="13"/>
      <c r="C180" s="13"/>
      <c r="D180" s="14"/>
      <c r="E180" s="14"/>
      <c r="F180" s="14"/>
      <c r="G180" s="14"/>
      <c r="H180" s="14"/>
      <c r="I180" s="5"/>
      <c r="J180" s="5"/>
      <c r="K180" s="5"/>
      <c r="L180" s="5"/>
    </row>
    <row r="181" spans="2:12" s="1" customFormat="1">
      <c r="B181" s="15"/>
      <c r="C181" s="15"/>
      <c r="D181" s="16"/>
      <c r="E181" s="16"/>
      <c r="F181" s="16"/>
      <c r="G181" s="16"/>
      <c r="H181" s="16"/>
      <c r="I181" s="5"/>
      <c r="J181" s="5"/>
      <c r="K181" s="5"/>
      <c r="L181" s="6"/>
    </row>
    <row r="182" spans="2:12" s="1" customFormat="1">
      <c r="B182" s="17"/>
      <c r="C182" s="17"/>
      <c r="D182" s="14"/>
      <c r="E182" s="14"/>
      <c r="F182" s="14"/>
      <c r="G182" s="14"/>
      <c r="H182" s="14"/>
      <c r="I182" s="5"/>
      <c r="J182" s="5"/>
      <c r="K182" s="5"/>
      <c r="L182" s="5"/>
    </row>
    <row r="183" spans="2:12" s="1" customFormat="1">
      <c r="B183" s="17"/>
      <c r="C183" s="17"/>
      <c r="D183" s="14"/>
      <c r="E183" s="14"/>
      <c r="F183" s="14"/>
      <c r="G183" s="14"/>
      <c r="H183" s="14"/>
      <c r="I183" s="5"/>
      <c r="J183" s="5"/>
      <c r="K183" s="5"/>
      <c r="L183" s="5"/>
    </row>
    <row r="184" spans="2:12" s="1" customFormat="1">
      <c r="B184" s="17"/>
      <c r="C184" s="17"/>
      <c r="D184" s="14"/>
      <c r="E184" s="14"/>
      <c r="F184" s="14"/>
      <c r="G184" s="14"/>
      <c r="H184" s="14"/>
      <c r="I184" s="5"/>
      <c r="J184" s="5"/>
      <c r="K184" s="5"/>
      <c r="L184" s="5"/>
    </row>
    <row r="185" spans="2:12" s="1" customFormat="1">
      <c r="B185" s="17"/>
      <c r="C185" s="17"/>
      <c r="D185" s="14"/>
      <c r="E185" s="14"/>
      <c r="F185" s="14"/>
      <c r="G185" s="14"/>
      <c r="H185" s="14"/>
      <c r="I185" s="5"/>
      <c r="J185" s="5"/>
      <c r="K185" s="5"/>
      <c r="L185" s="5"/>
    </row>
    <row r="186" spans="2:12" s="1" customFormat="1">
      <c r="B186" s="17"/>
      <c r="C186" s="17"/>
      <c r="D186" s="14"/>
      <c r="E186" s="14"/>
      <c r="F186" s="14"/>
      <c r="G186" s="14"/>
      <c r="H186" s="14"/>
      <c r="I186" s="5"/>
      <c r="J186" s="5"/>
      <c r="K186" s="5"/>
      <c r="L186" s="5"/>
    </row>
    <row r="187" spans="2:12" s="1" customFormat="1">
      <c r="B187" s="17"/>
      <c r="C187" s="17"/>
      <c r="D187" s="14"/>
      <c r="E187" s="14"/>
      <c r="F187" s="14"/>
      <c r="G187" s="14"/>
      <c r="H187" s="14"/>
      <c r="I187" s="5"/>
      <c r="J187" s="5"/>
      <c r="K187" s="5"/>
      <c r="L187" s="5"/>
    </row>
    <row r="188" spans="2:12" s="1" customFormat="1">
      <c r="B188" s="17"/>
      <c r="C188" s="17"/>
      <c r="D188" s="14"/>
      <c r="E188" s="14"/>
      <c r="F188" s="14"/>
      <c r="G188" s="14"/>
      <c r="H188" s="14"/>
      <c r="I188" s="5"/>
      <c r="J188" s="5"/>
      <c r="K188" s="5"/>
      <c r="L188" s="5"/>
    </row>
    <row r="189" spans="2:12" s="14" customFormat="1">
      <c r="B189" s="17"/>
      <c r="C189" s="17"/>
      <c r="I189" s="5"/>
      <c r="J189" s="5"/>
      <c r="K189" s="5"/>
      <c r="L189" s="5"/>
    </row>
    <row r="190" spans="2:12" s="14" customFormat="1">
      <c r="B190" s="17"/>
      <c r="C190" s="17"/>
      <c r="I190" s="5"/>
      <c r="J190" s="5"/>
      <c r="K190" s="5"/>
      <c r="L190" s="5"/>
    </row>
    <row r="191" spans="2:12" s="14" customFormat="1">
      <c r="B191" s="17"/>
      <c r="C191" s="17"/>
      <c r="I191" s="5"/>
      <c r="J191" s="5"/>
      <c r="K191" s="5"/>
      <c r="L191" s="5"/>
    </row>
    <row r="192" spans="2:12" s="14" customFormat="1">
      <c r="B192" s="17"/>
      <c r="C192" s="17"/>
      <c r="I192" s="5"/>
      <c r="J192" s="5"/>
      <c r="K192" s="5"/>
      <c r="L192" s="5"/>
    </row>
    <row r="193" spans="2:12" s="14" customFormat="1">
      <c r="B193" s="17"/>
      <c r="C193" s="17"/>
      <c r="I193" s="5"/>
      <c r="J193" s="5"/>
      <c r="K193" s="5"/>
      <c r="L193" s="5"/>
    </row>
    <row r="194" spans="2:12" s="14" customFormat="1">
      <c r="B194" s="17"/>
      <c r="C194" s="17"/>
      <c r="I194" s="5"/>
      <c r="J194" s="5"/>
      <c r="K194" s="5"/>
      <c r="L194" s="5"/>
    </row>
    <row r="195" spans="2:12" s="14" customFormat="1">
      <c r="B195" s="17"/>
      <c r="C195" s="17"/>
      <c r="I195" s="5"/>
      <c r="J195" s="5"/>
      <c r="K195" s="5"/>
      <c r="L195" s="5"/>
    </row>
    <row r="196" spans="2:12" s="14" customFormat="1">
      <c r="B196" s="17"/>
      <c r="C196" s="17"/>
      <c r="I196" s="5"/>
      <c r="J196" s="5"/>
      <c r="K196" s="5"/>
      <c r="L196" s="5"/>
    </row>
    <row r="197" spans="2:12" s="14" customFormat="1">
      <c r="I197" s="5"/>
      <c r="J197" s="5"/>
      <c r="K197" s="5"/>
      <c r="L197" s="5"/>
    </row>
    <row r="198" spans="2:12" s="14" customFormat="1">
      <c r="I198" s="5"/>
      <c r="J198" s="5"/>
      <c r="K198" s="5"/>
      <c r="L198" s="5"/>
    </row>
    <row r="199" spans="2:12" s="14" customFormat="1">
      <c r="I199" s="5"/>
      <c r="J199" s="5"/>
      <c r="K199" s="5"/>
      <c r="L199" s="5"/>
    </row>
    <row r="200" spans="2:12" s="14" customFormat="1">
      <c r="I200" s="5"/>
      <c r="J200" s="5"/>
      <c r="K200" s="5"/>
      <c r="L200" s="5"/>
    </row>
    <row r="201" spans="2:12" s="14" customFormat="1">
      <c r="I201" s="5"/>
      <c r="J201" s="5"/>
      <c r="K201" s="5"/>
      <c r="L201" s="5"/>
    </row>
    <row r="202" spans="2:12" s="14" customFormat="1">
      <c r="I202" s="5"/>
      <c r="J202" s="5"/>
      <c r="K202" s="5"/>
      <c r="L202" s="5"/>
    </row>
    <row r="203" spans="2:12" s="14" customFormat="1">
      <c r="I203" s="5"/>
      <c r="J203" s="5"/>
      <c r="K203" s="5"/>
      <c r="L203" s="5"/>
    </row>
    <row r="204" spans="2:12" s="14" customFormat="1">
      <c r="I204" s="5"/>
      <c r="J204" s="5"/>
      <c r="K204" s="5"/>
      <c r="L204" s="5"/>
    </row>
    <row r="205" spans="2:12" s="14" customFormat="1">
      <c r="I205" s="5"/>
      <c r="J205" s="5"/>
      <c r="K205" s="5"/>
      <c r="L205" s="5"/>
    </row>
    <row r="206" spans="2:12" s="14" customFormat="1">
      <c r="I206" s="5"/>
      <c r="J206" s="5"/>
      <c r="K206" s="5"/>
      <c r="L206" s="5"/>
    </row>
    <row r="207" spans="2:12" s="14" customFormat="1">
      <c r="I207" s="5"/>
      <c r="J207" s="5"/>
      <c r="K207" s="5"/>
      <c r="L207" s="5"/>
    </row>
    <row r="208" spans="2:12" s="14" customFormat="1">
      <c r="I208" s="5"/>
      <c r="J208" s="5"/>
      <c r="K208" s="5"/>
      <c r="L208" s="5"/>
    </row>
    <row r="209" spans="9:12" s="14" customFormat="1">
      <c r="I209" s="5"/>
      <c r="J209" s="5"/>
      <c r="K209" s="5"/>
      <c r="L209" s="5"/>
    </row>
    <row r="210" spans="9:12" s="14" customFormat="1">
      <c r="I210" s="5"/>
      <c r="J210" s="5"/>
      <c r="K210" s="5"/>
      <c r="L210" s="5"/>
    </row>
    <row r="211" spans="9:12" s="14" customFormat="1">
      <c r="I211" s="5"/>
      <c r="J211" s="5"/>
      <c r="K211" s="5"/>
      <c r="L211" s="5"/>
    </row>
    <row r="212" spans="9:12" s="14" customFormat="1">
      <c r="I212" s="5"/>
      <c r="J212" s="5"/>
      <c r="K212" s="5"/>
      <c r="L212" s="5"/>
    </row>
    <row r="213" spans="9:12" s="14" customFormat="1">
      <c r="I213" s="5"/>
      <c r="J213" s="5"/>
      <c r="K213" s="5"/>
      <c r="L213" s="5"/>
    </row>
    <row r="214" spans="9:12" s="14" customFormat="1">
      <c r="I214" s="5"/>
      <c r="J214" s="5"/>
      <c r="K214" s="5"/>
      <c r="L214" s="5"/>
    </row>
    <row r="215" spans="9:12" s="14" customFormat="1">
      <c r="I215" s="5"/>
      <c r="J215" s="5"/>
      <c r="K215" s="5"/>
      <c r="L215" s="5"/>
    </row>
    <row r="216" spans="9:12" s="14" customFormat="1">
      <c r="I216" s="5"/>
      <c r="J216" s="5"/>
      <c r="K216" s="5"/>
      <c r="L216" s="5"/>
    </row>
    <row r="217" spans="9:12" s="14" customFormat="1">
      <c r="I217" s="5"/>
      <c r="J217" s="5"/>
      <c r="K217" s="5"/>
      <c r="L217" s="5"/>
    </row>
    <row r="218" spans="9:12" s="14" customFormat="1">
      <c r="I218" s="5"/>
      <c r="J218" s="5"/>
      <c r="K218" s="5"/>
      <c r="L218" s="5"/>
    </row>
    <row r="219" spans="9:12" s="14" customFormat="1">
      <c r="I219" s="5"/>
      <c r="J219" s="5"/>
      <c r="K219" s="5"/>
      <c r="L219" s="5"/>
    </row>
    <row r="220" spans="9:12" s="14" customFormat="1">
      <c r="I220" s="5"/>
      <c r="J220" s="5"/>
      <c r="K220" s="5"/>
      <c r="L220" s="5"/>
    </row>
    <row r="221" spans="9:12" s="14" customFormat="1">
      <c r="I221" s="5"/>
      <c r="J221" s="5"/>
      <c r="K221" s="5"/>
      <c r="L221" s="5"/>
    </row>
    <row r="222" spans="9:12" s="14" customFormat="1">
      <c r="I222" s="5"/>
      <c r="J222" s="5"/>
      <c r="K222" s="5"/>
      <c r="L222" s="5"/>
    </row>
    <row r="223" spans="9:12" s="14" customFormat="1">
      <c r="I223" s="5"/>
      <c r="J223" s="5"/>
      <c r="K223" s="5"/>
      <c r="L223" s="5"/>
    </row>
    <row r="224" spans="9:12" s="14" customFormat="1">
      <c r="I224" s="5"/>
      <c r="J224" s="5"/>
      <c r="K224" s="5"/>
      <c r="L224" s="5"/>
    </row>
    <row r="225" spans="2:12" s="14" customFormat="1">
      <c r="I225" s="5"/>
      <c r="J225" s="5"/>
      <c r="K225" s="5"/>
      <c r="L225" s="5"/>
    </row>
    <row r="226" spans="2:12" s="14" customFormat="1">
      <c r="I226" s="5"/>
      <c r="J226" s="5"/>
      <c r="K226" s="5"/>
      <c r="L226" s="5"/>
    </row>
    <row r="227" spans="2:12" s="2" customFormat="1">
      <c r="B227" s="18"/>
      <c r="C227" s="18"/>
      <c r="D227" s="19"/>
      <c r="E227" s="19"/>
      <c r="F227" s="19"/>
      <c r="G227" s="19"/>
      <c r="H227" s="19"/>
      <c r="I227" s="5"/>
      <c r="J227" s="5"/>
      <c r="K227" s="5"/>
      <c r="L227" s="7"/>
    </row>
    <row r="228" spans="2:12" s="2" customFormat="1">
      <c r="B228" s="18"/>
      <c r="C228" s="18"/>
      <c r="D228" s="19"/>
      <c r="E228" s="19"/>
      <c r="F228" s="19"/>
      <c r="G228" s="19"/>
      <c r="H228" s="19"/>
      <c r="I228" s="5"/>
      <c r="J228" s="5"/>
      <c r="K228" s="5"/>
      <c r="L228" s="7"/>
    </row>
    <row r="229" spans="2:12" s="2" customFormat="1">
      <c r="B229" s="18"/>
      <c r="C229" s="18"/>
      <c r="D229" s="19"/>
      <c r="E229" s="19"/>
      <c r="F229" s="19"/>
      <c r="G229" s="19"/>
      <c r="H229" s="19"/>
      <c r="I229" s="5"/>
      <c r="J229" s="5"/>
      <c r="K229" s="5"/>
      <c r="L229" s="7"/>
    </row>
    <row r="230" spans="2:12" s="2" customFormat="1">
      <c r="B230" s="18"/>
      <c r="C230" s="18"/>
      <c r="D230" s="19"/>
      <c r="E230" s="19"/>
      <c r="F230" s="19"/>
      <c r="G230" s="19"/>
      <c r="H230" s="19"/>
      <c r="I230" s="5"/>
      <c r="J230" s="5"/>
      <c r="K230" s="5"/>
      <c r="L230" s="7"/>
    </row>
    <row r="231" spans="2:12" s="2" customFormat="1">
      <c r="B231" s="18"/>
      <c r="C231" s="18"/>
      <c r="D231" s="19"/>
      <c r="E231" s="19"/>
      <c r="F231" s="19"/>
      <c r="G231" s="19"/>
      <c r="H231" s="19"/>
      <c r="I231" s="5"/>
      <c r="J231" s="5"/>
      <c r="K231" s="5"/>
      <c r="L231" s="7"/>
    </row>
    <row r="232" spans="2:12" s="2" customFormat="1">
      <c r="B232" s="18"/>
      <c r="C232" s="18"/>
      <c r="D232" s="19"/>
      <c r="E232" s="19"/>
      <c r="F232" s="19"/>
      <c r="G232" s="19"/>
      <c r="H232" s="19"/>
      <c r="I232" s="5"/>
      <c r="J232" s="5"/>
      <c r="K232" s="5"/>
      <c r="L232" s="7"/>
    </row>
    <row r="233" spans="2:12" s="2" customFormat="1">
      <c r="B233" s="18"/>
      <c r="C233" s="18"/>
      <c r="D233" s="19"/>
      <c r="E233" s="19"/>
      <c r="F233" s="19"/>
      <c r="G233" s="19"/>
      <c r="H233" s="19"/>
      <c r="I233" s="5"/>
      <c r="J233" s="5"/>
      <c r="K233" s="5"/>
      <c r="L233" s="7"/>
    </row>
    <row r="234" spans="2:12" s="2" customFormat="1">
      <c r="B234" s="18"/>
      <c r="C234" s="18"/>
      <c r="D234" s="19"/>
      <c r="E234" s="19"/>
      <c r="F234" s="19"/>
      <c r="G234" s="19"/>
      <c r="H234" s="19"/>
      <c r="I234" s="5"/>
      <c r="J234" s="5"/>
      <c r="K234" s="5"/>
      <c r="L234" s="7"/>
    </row>
    <row r="235" spans="2:12" s="2" customFormat="1">
      <c r="B235" s="18"/>
      <c r="C235" s="18"/>
      <c r="D235" s="19"/>
      <c r="E235" s="19"/>
      <c r="F235" s="19"/>
      <c r="G235" s="19"/>
      <c r="H235" s="19"/>
      <c r="I235" s="5"/>
      <c r="J235" s="5"/>
      <c r="K235" s="5"/>
      <c r="L235" s="7"/>
    </row>
    <row r="236" spans="2:12" s="2" customFormat="1">
      <c r="B236" s="18"/>
      <c r="C236" s="18"/>
      <c r="D236" s="19"/>
      <c r="E236" s="19"/>
      <c r="F236" s="19"/>
      <c r="G236" s="19"/>
      <c r="H236" s="19"/>
      <c r="I236" s="5"/>
      <c r="J236" s="5"/>
      <c r="K236" s="5"/>
      <c r="L236" s="7"/>
    </row>
    <row r="237" spans="2:12" s="2" customFormat="1">
      <c r="B237" s="18"/>
      <c r="C237" s="18"/>
      <c r="D237" s="19"/>
      <c r="E237" s="19"/>
      <c r="F237" s="19"/>
      <c r="G237" s="19"/>
      <c r="H237" s="19"/>
      <c r="I237" s="5"/>
      <c r="J237" s="5"/>
      <c r="K237" s="5"/>
      <c r="L237" s="7"/>
    </row>
    <row r="238" spans="2:12" s="2" customFormat="1">
      <c r="B238" s="18"/>
      <c r="C238" s="18"/>
      <c r="D238" s="19"/>
      <c r="E238" s="19"/>
      <c r="F238" s="19"/>
      <c r="G238" s="19"/>
      <c r="H238" s="19"/>
      <c r="I238" s="5"/>
      <c r="J238" s="5"/>
      <c r="K238" s="5"/>
      <c r="L238" s="7"/>
    </row>
    <row r="239" spans="2:12" s="2" customFormat="1">
      <c r="B239" s="18"/>
      <c r="C239" s="18"/>
      <c r="D239" s="19"/>
      <c r="E239" s="19"/>
      <c r="F239" s="19"/>
      <c r="G239" s="19"/>
      <c r="H239" s="19"/>
      <c r="I239" s="5"/>
      <c r="J239" s="5"/>
      <c r="K239" s="5"/>
      <c r="L239" s="7"/>
    </row>
    <row r="240" spans="2:12" s="2" customFormat="1">
      <c r="B240" s="18"/>
      <c r="C240" s="18"/>
      <c r="D240" s="19"/>
      <c r="E240" s="19"/>
      <c r="F240" s="19"/>
      <c r="G240" s="19"/>
      <c r="H240" s="19"/>
      <c r="I240" s="5"/>
      <c r="J240" s="5"/>
      <c r="K240" s="5"/>
      <c r="L240" s="7"/>
    </row>
    <row r="241" spans="2:12" s="2" customFormat="1">
      <c r="B241" s="18"/>
      <c r="C241" s="18"/>
      <c r="D241" s="19"/>
      <c r="E241" s="19"/>
      <c r="F241" s="19"/>
      <c r="G241" s="19"/>
      <c r="H241" s="19"/>
      <c r="I241" s="5"/>
      <c r="J241" s="5"/>
      <c r="K241" s="5"/>
      <c r="L241" s="7"/>
    </row>
    <row r="242" spans="2:12" s="2" customFormat="1">
      <c r="B242" s="18"/>
      <c r="C242" s="18"/>
      <c r="D242" s="19"/>
      <c r="E242" s="19"/>
      <c r="F242" s="19"/>
      <c r="G242" s="19"/>
      <c r="H242" s="19"/>
      <c r="I242" s="5"/>
      <c r="J242" s="5"/>
      <c r="K242" s="5"/>
      <c r="L242" s="7"/>
    </row>
    <row r="243" spans="2:12" s="2" customFormat="1">
      <c r="B243" s="18"/>
      <c r="C243" s="18"/>
      <c r="D243" s="19"/>
      <c r="E243" s="19"/>
      <c r="F243" s="19"/>
      <c r="G243" s="19"/>
      <c r="H243" s="19"/>
      <c r="I243" s="5"/>
      <c r="J243" s="5"/>
      <c r="K243" s="5"/>
      <c r="L243" s="7"/>
    </row>
    <row r="244" spans="2:12" s="2" customFormat="1">
      <c r="B244" s="18"/>
      <c r="C244" s="18"/>
      <c r="D244" s="19"/>
      <c r="E244" s="19"/>
      <c r="F244" s="19"/>
      <c r="G244" s="19"/>
      <c r="H244" s="19"/>
      <c r="I244" s="5"/>
      <c r="J244" s="5"/>
      <c r="K244" s="5"/>
      <c r="L244" s="7"/>
    </row>
    <row r="245" spans="2:12" s="2" customFormat="1">
      <c r="B245" s="18"/>
      <c r="C245" s="18"/>
      <c r="D245" s="19"/>
      <c r="E245" s="19"/>
      <c r="F245" s="19"/>
      <c r="G245" s="19"/>
      <c r="H245" s="19"/>
      <c r="I245" s="5"/>
      <c r="J245" s="5"/>
      <c r="K245" s="5"/>
      <c r="L245" s="7"/>
    </row>
    <row r="246" spans="2:12" s="2" customFormat="1">
      <c r="B246" s="18"/>
      <c r="C246" s="18"/>
      <c r="D246" s="19"/>
      <c r="E246" s="19"/>
      <c r="F246" s="19"/>
      <c r="G246" s="19"/>
      <c r="H246" s="19"/>
      <c r="I246" s="5"/>
      <c r="J246" s="5"/>
      <c r="K246" s="5"/>
      <c r="L246" s="7"/>
    </row>
    <row r="247" spans="2:12" s="2" customFormat="1">
      <c r="B247" s="18"/>
      <c r="C247" s="18"/>
      <c r="D247" s="19"/>
      <c r="E247" s="19"/>
      <c r="F247" s="19"/>
      <c r="G247" s="19"/>
      <c r="H247" s="19"/>
      <c r="I247" s="5"/>
      <c r="J247" s="5"/>
      <c r="K247" s="5"/>
      <c r="L247" s="7"/>
    </row>
    <row r="248" spans="2:12" s="2" customFormat="1">
      <c r="B248" s="18"/>
      <c r="C248" s="18"/>
      <c r="D248" s="19"/>
      <c r="E248" s="19"/>
      <c r="F248" s="19"/>
      <c r="G248" s="19"/>
      <c r="H248" s="19"/>
      <c r="I248" s="5"/>
      <c r="J248" s="5"/>
      <c r="K248" s="5"/>
      <c r="L248" s="7"/>
    </row>
    <row r="249" spans="2:12" s="2" customFormat="1">
      <c r="B249" s="18"/>
      <c r="C249" s="18"/>
      <c r="D249" s="19"/>
      <c r="E249" s="19"/>
      <c r="F249" s="19"/>
      <c r="G249" s="19"/>
      <c r="H249" s="19"/>
      <c r="I249" s="5"/>
      <c r="J249" s="5"/>
      <c r="K249" s="5"/>
      <c r="L249" s="7"/>
    </row>
    <row r="250" spans="2:12" s="2" customFormat="1">
      <c r="B250" s="18"/>
      <c r="C250" s="18"/>
      <c r="D250" s="19"/>
      <c r="E250" s="19"/>
      <c r="F250" s="19"/>
      <c r="G250" s="19"/>
      <c r="H250" s="19"/>
      <c r="I250" s="5"/>
      <c r="J250" s="5"/>
      <c r="K250" s="5"/>
      <c r="L250" s="7"/>
    </row>
    <row r="251" spans="2:12" s="2" customFormat="1">
      <c r="B251" s="18"/>
      <c r="C251" s="18"/>
      <c r="D251" s="19"/>
      <c r="E251" s="19"/>
      <c r="F251" s="19"/>
      <c r="G251" s="19"/>
      <c r="H251" s="19"/>
      <c r="I251" s="5"/>
      <c r="J251" s="5"/>
      <c r="K251" s="5"/>
      <c r="L251" s="7"/>
    </row>
    <row r="252" spans="2:12" s="2" customFormat="1">
      <c r="B252" s="18"/>
      <c r="C252" s="18"/>
      <c r="D252" s="19"/>
      <c r="E252" s="19"/>
      <c r="F252" s="19"/>
      <c r="G252" s="19"/>
      <c r="H252" s="19"/>
      <c r="I252" s="5"/>
      <c r="J252" s="5"/>
      <c r="K252" s="5"/>
      <c r="L252" s="7"/>
    </row>
    <row r="253" spans="2:12" s="2" customFormat="1">
      <c r="B253" s="18"/>
      <c r="C253" s="18"/>
      <c r="D253" s="19"/>
      <c r="E253" s="19"/>
      <c r="F253" s="19"/>
      <c r="G253" s="19"/>
      <c r="H253" s="19"/>
      <c r="I253" s="5"/>
      <c r="J253" s="5"/>
      <c r="K253" s="5"/>
      <c r="L253" s="7"/>
    </row>
    <row r="254" spans="2:12" s="2" customFormat="1">
      <c r="B254" s="18"/>
      <c r="C254" s="18"/>
      <c r="D254" s="19"/>
      <c r="E254" s="19"/>
      <c r="F254" s="19"/>
      <c r="G254" s="19"/>
      <c r="H254" s="19"/>
      <c r="I254" s="5"/>
      <c r="J254" s="5"/>
      <c r="K254" s="5"/>
      <c r="L254" s="7"/>
    </row>
    <row r="255" spans="2:12" s="2" customFormat="1">
      <c r="B255" s="18"/>
      <c r="C255" s="18"/>
      <c r="D255" s="19"/>
      <c r="E255" s="19"/>
      <c r="F255" s="19"/>
      <c r="G255" s="19"/>
      <c r="H255" s="19"/>
      <c r="I255" s="5"/>
      <c r="J255" s="5"/>
      <c r="K255" s="5"/>
      <c r="L255" s="7"/>
    </row>
    <row r="256" spans="2:12" s="2" customFormat="1">
      <c r="B256" s="18"/>
      <c r="C256" s="18"/>
      <c r="D256" s="19"/>
      <c r="E256" s="19"/>
      <c r="F256" s="19"/>
      <c r="G256" s="19"/>
      <c r="H256" s="19"/>
      <c r="I256" s="5"/>
      <c r="J256" s="5"/>
      <c r="K256" s="5"/>
      <c r="L256" s="7"/>
    </row>
    <row r="257" spans="2:12" s="2" customFormat="1">
      <c r="B257" s="18"/>
      <c r="C257" s="18"/>
      <c r="D257" s="19"/>
      <c r="E257" s="19"/>
      <c r="F257" s="19"/>
      <c r="G257" s="19"/>
      <c r="H257" s="19"/>
      <c r="I257" s="5"/>
      <c r="J257" s="5"/>
      <c r="K257" s="5"/>
      <c r="L257" s="7"/>
    </row>
    <row r="258" spans="2:12" s="2" customFormat="1">
      <c r="B258" s="18"/>
      <c r="C258" s="18"/>
      <c r="D258" s="19"/>
      <c r="E258" s="19"/>
      <c r="F258" s="19"/>
      <c r="G258" s="19"/>
      <c r="H258" s="19"/>
      <c r="I258" s="5"/>
      <c r="J258" s="5"/>
      <c r="K258" s="5"/>
      <c r="L258" s="7"/>
    </row>
    <row r="259" spans="2:12" s="2" customFormat="1">
      <c r="B259" s="18"/>
      <c r="C259" s="18"/>
      <c r="D259" s="19"/>
      <c r="E259" s="19"/>
      <c r="F259" s="19"/>
      <c r="G259" s="19"/>
      <c r="H259" s="19"/>
      <c r="I259" s="5"/>
      <c r="J259" s="5"/>
      <c r="K259" s="5"/>
      <c r="L259" s="7"/>
    </row>
    <row r="260" spans="2:12" ht="21">
      <c r="B260" s="9"/>
      <c r="C260" s="9"/>
    </row>
    <row r="261" spans="2:12">
      <c r="B261" s="10"/>
      <c r="C261" s="10"/>
      <c r="E261" s="11"/>
      <c r="F261" s="11"/>
      <c r="G261" s="11"/>
      <c r="H261" s="11"/>
      <c r="L261" s="4"/>
    </row>
    <row r="262" spans="2:12">
      <c r="D262" s="11"/>
    </row>
    <row r="320" spans="2:3" ht="21">
      <c r="B320" s="9"/>
      <c r="C320" s="9"/>
    </row>
    <row r="321" spans="2:12">
      <c r="B321" s="10"/>
      <c r="C321" s="10"/>
      <c r="E321" s="11"/>
      <c r="F321" s="11"/>
      <c r="G321" s="11"/>
      <c r="H321" s="11"/>
      <c r="L321" s="4"/>
    </row>
    <row r="322" spans="2:12">
      <c r="D322" s="11"/>
    </row>
    <row r="380" spans="2:12" ht="21">
      <c r="B380" s="9"/>
      <c r="C380" s="9"/>
    </row>
    <row r="381" spans="2:12">
      <c r="B381" s="10"/>
      <c r="C381" s="10"/>
      <c r="E381" s="11"/>
      <c r="F381" s="11"/>
      <c r="G381" s="11"/>
      <c r="H381" s="11"/>
      <c r="L381" s="4"/>
    </row>
    <row r="382" spans="2:12">
      <c r="D382" s="11"/>
    </row>
    <row r="415" spans="2:12" ht="21">
      <c r="B415" s="9"/>
      <c r="C415" s="9"/>
    </row>
    <row r="416" spans="2:12">
      <c r="B416" s="10"/>
      <c r="C416" s="10"/>
      <c r="E416" s="11"/>
      <c r="F416" s="11"/>
      <c r="G416" s="11"/>
      <c r="H416" s="11"/>
      <c r="L416" s="4"/>
    </row>
    <row r="417" spans="4:4">
      <c r="D417" s="11"/>
    </row>
    <row r="467" spans="2:12" ht="21">
      <c r="B467" s="9"/>
      <c r="C467" s="9"/>
    </row>
    <row r="468" spans="2:12">
      <c r="B468" s="10"/>
      <c r="C468" s="10"/>
      <c r="E468" s="11"/>
      <c r="F468" s="11"/>
      <c r="G468" s="11"/>
      <c r="H468" s="11"/>
      <c r="L468" s="4"/>
    </row>
    <row r="469" spans="2:12">
      <c r="D469" s="11"/>
    </row>
    <row r="502" spans="2:12" ht="21">
      <c r="B502" s="9"/>
      <c r="C502" s="9"/>
    </row>
    <row r="503" spans="2:12">
      <c r="B503" s="10"/>
      <c r="C503" s="10"/>
      <c r="E503" s="11"/>
      <c r="F503" s="11"/>
      <c r="G503" s="11"/>
      <c r="H503" s="11"/>
      <c r="L503" s="4"/>
    </row>
    <row r="504" spans="2:12">
      <c r="D504" s="11"/>
    </row>
    <row r="568" spans="2:12" ht="21">
      <c r="B568" s="9"/>
      <c r="C568" s="9"/>
    </row>
    <row r="569" spans="2:12">
      <c r="B569" s="10"/>
      <c r="C569" s="10"/>
      <c r="E569" s="11"/>
      <c r="F569" s="11"/>
      <c r="G569" s="11"/>
      <c r="H569" s="11"/>
      <c r="L569" s="4"/>
    </row>
    <row r="570" spans="2:12">
      <c r="D570" s="11"/>
    </row>
    <row r="595" spans="2:4">
      <c r="B595" s="20"/>
      <c r="C595" s="20"/>
    </row>
    <row r="596" spans="2:4">
      <c r="D596" s="12"/>
    </row>
  </sheetData>
  <autoFilter ref="A3:L7" xr:uid="{00000000-0001-0000-0000-000000000000}">
    <sortState xmlns:xlrd2="http://schemas.microsoft.com/office/spreadsheetml/2017/richdata2" ref="A4:L10">
      <sortCondition ref="A3:A7"/>
    </sortState>
  </autoFilter>
  <pageMargins left="0.70866141732283472" right="0.70866141732283472" top="0.74803149606299213" bottom="0.74803149606299213" header="0.31496062992125984" footer="0.31496062992125984"/>
  <pageSetup scale="41" fitToHeight="3"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promptTitle="Type of BD Activity" prompt="Please select from the list" xr:uid="{15B55FDD-9953-45A9-B1B5-9AB952193D2D}">
          <x14:formula1>
            <xm:f>'contact type'!$A$1:$A$9</xm:f>
          </x14:formula1>
          <xm:sqref>H4:H34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06BB6-61F7-4F32-BB31-62BC074EAA74}">
  <dimension ref="A1:A7"/>
  <sheetViews>
    <sheetView workbookViewId="0">
      <selection activeCell="O14" sqref="O14"/>
    </sheetView>
  </sheetViews>
  <sheetFormatPr defaultRowHeight="15"/>
  <sheetData>
    <row r="1" spans="1:1">
      <c r="A1" t="s">
        <v>57</v>
      </c>
    </row>
    <row r="2" spans="1:1">
      <c r="A2" t="s">
        <v>72</v>
      </c>
    </row>
    <row r="3" spans="1:1">
      <c r="A3" t="s">
        <v>121</v>
      </c>
    </row>
    <row r="4" spans="1:1">
      <c r="A4" t="s">
        <v>86</v>
      </c>
    </row>
    <row r="5" spans="1:1">
      <c r="A5" t="s">
        <v>116</v>
      </c>
    </row>
    <row r="6" spans="1:1">
      <c r="A6" t="s">
        <v>275</v>
      </c>
    </row>
    <row r="7" spans="1:1">
      <c r="A7" t="s">
        <v>166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253DB9F71F8644B3D7C27F9809521D" ma:contentTypeVersion="4" ma:contentTypeDescription="Create a new document." ma:contentTypeScope="" ma:versionID="3b1a733e0d40966c42a2925b51c29fc5">
  <xsd:schema xmlns:xsd="http://www.w3.org/2001/XMLSchema" xmlns:xs="http://www.w3.org/2001/XMLSchema" xmlns:p="http://schemas.microsoft.com/office/2006/metadata/properties" xmlns:ns2="e149b62d-a97c-4557-8f2b-eae8204d4e7e" targetNamespace="http://schemas.microsoft.com/office/2006/metadata/properties" ma:root="true" ma:fieldsID="68b04f7a9c5e93767ed2e964162ea758" ns2:_="">
    <xsd:import namespace="e149b62d-a97c-4557-8f2b-eae8204d4e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49b62d-a97c-4557-8f2b-eae8204d4e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4BB19E-A0CE-46EB-947C-54A592526699}"/>
</file>

<file path=customXml/itemProps2.xml><?xml version="1.0" encoding="utf-8"?>
<ds:datastoreItem xmlns:ds="http://schemas.openxmlformats.org/officeDocument/2006/customXml" ds:itemID="{0468F941-62DF-4E6E-BF5D-D06459AF163E}"/>
</file>

<file path=customXml/itemProps3.xml><?xml version="1.0" encoding="utf-8"?>
<ds:datastoreItem xmlns:ds="http://schemas.openxmlformats.org/officeDocument/2006/customXml" ds:itemID="{EDE9D6E9-E296-4D30-8F12-D16638E4B10E}"/>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Voros</dc:creator>
  <cp:keywords/>
  <dc:description/>
  <cp:lastModifiedBy/>
  <cp:revision/>
  <dcterms:created xsi:type="dcterms:W3CDTF">2015-11-26T17:30:51Z</dcterms:created>
  <dcterms:modified xsi:type="dcterms:W3CDTF">2026-05-30T23:14:14Z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0x01010007253DB9F71F8644B3D7C27F9809521D</vt:lpwstr>
  </property>
</Properties>
</file>